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bhishek\OneDrive\Desktop\dashboards\"/>
    </mc:Choice>
  </mc:AlternateContent>
  <xr:revisionPtr revIDLastSave="0" documentId="13_ncr:1_{670CD944-A7F4-43CF-A94B-B6B2B827E8FB}" xr6:coauthVersionLast="47" xr6:coauthVersionMax="47" xr10:uidLastSave="{00000000-0000-0000-0000-000000000000}"/>
  <bookViews>
    <workbookView xWindow="-108" yWindow="-108" windowWidth="23256" windowHeight="12456" activeTab="2" xr2:uid="{00000000-000D-0000-FFFF-FFFF00000000}"/>
  </bookViews>
  <sheets>
    <sheet name="Course_Data" sheetId="1" r:id="rId1"/>
    <sheet name="pivot" sheetId="5" r:id="rId2"/>
    <sheet name="dashboard" sheetId="3" r:id="rId3"/>
  </sheets>
  <definedNames>
    <definedName name="NativeTimeline_Date">#N/A</definedName>
    <definedName name="Slicer_Category">#N/A</definedName>
    <definedName name="Slicer_Course_Name">#N/A</definedName>
    <definedName name="Slicer_State">#N/A</definedName>
  </definedNames>
  <calcPr calcId="191029"/>
  <pivotCaches>
    <pivotCache cacheId="19" r:id="rId4"/>
  </pivotCaches>
  <extLst>
    <ext xmlns:x14="http://schemas.microsoft.com/office/spreadsheetml/2009/9/main" uri="{876F7934-8845-4945-9796-88D515C7AA90}">
      <x14:pivotCaches>
        <pivotCache cacheId="13"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E14" i="5" l="1"/>
  <c r="E11" i="5"/>
  <c r="E8" i="5"/>
</calcChain>
</file>

<file path=xl/sharedStrings.xml><?xml version="1.0" encoding="utf-8"?>
<sst xmlns="http://schemas.openxmlformats.org/spreadsheetml/2006/main" count="2036" uniqueCount="47">
  <si>
    <t>Date</t>
  </si>
  <si>
    <t>Course Name</t>
  </si>
  <si>
    <t>Instructor</t>
  </si>
  <si>
    <t>Category</t>
  </si>
  <si>
    <t>State</t>
  </si>
  <si>
    <t>Enrollments</t>
  </si>
  <si>
    <t>Revenue INR</t>
  </si>
  <si>
    <t>Power BI Mastery</t>
  </si>
  <si>
    <t>Vikas Singh</t>
  </si>
  <si>
    <t>Security</t>
  </si>
  <si>
    <t>Madhya Pradesh</t>
  </si>
  <si>
    <t>Digital Marketing Pro</t>
  </si>
  <si>
    <t>Sneha Kapoor</t>
  </si>
  <si>
    <t>Marketing</t>
  </si>
  <si>
    <t>Karnataka</t>
  </si>
  <si>
    <t>Cloud Computing Basics</t>
  </si>
  <si>
    <t>Priya Nair</t>
  </si>
  <si>
    <t>Management</t>
  </si>
  <si>
    <t>Delhi</t>
  </si>
  <si>
    <t>Cybersecurity Essentials</t>
  </si>
  <si>
    <t>Rahul Sharma</t>
  </si>
  <si>
    <t>Cloud</t>
  </si>
  <si>
    <t>Telangana</t>
  </si>
  <si>
    <t>AI &amp; Machine Learning</t>
  </si>
  <si>
    <t>Tamil Nadu</t>
  </si>
  <si>
    <t>RHCSA Linux Admin</t>
  </si>
  <si>
    <t>Neha Joshi</t>
  </si>
  <si>
    <t>Maharashtra</t>
  </si>
  <si>
    <t>Project Management</t>
  </si>
  <si>
    <t>IT</t>
  </si>
  <si>
    <t>Advanced Excel</t>
  </si>
  <si>
    <t>Anjali Rao</t>
  </si>
  <si>
    <t>West Bengal</t>
  </si>
  <si>
    <t>Data Science</t>
  </si>
  <si>
    <t>Uttar Pradesh</t>
  </si>
  <si>
    <t>Amit Verma</t>
  </si>
  <si>
    <t>Development</t>
  </si>
  <si>
    <t>Rajasthan</t>
  </si>
  <si>
    <t>Web Development Bootcamp</t>
  </si>
  <si>
    <t>Python for Data Science</t>
  </si>
  <si>
    <t>Gujarat</t>
  </si>
  <si>
    <t>Karan Mehta</t>
  </si>
  <si>
    <t>Row Labels</t>
  </si>
  <si>
    <t>Grand Total</t>
  </si>
  <si>
    <t>Sum of Revenue INR</t>
  </si>
  <si>
    <t>Sum of Enrollments</t>
  </si>
  <si>
    <t>Count of Course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</si>
</sst>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0" formatCode="dd\-mm\-yyyy"/>
    <numFmt numFmtId="172" formatCode="&quot;₹&quot;\ #,##0"/>
  </numFmts>
  <fonts count="2" x14ac:knownFonts="1">
    <font>
      <sz val="11"/>
      <color theme="1"/>
      <name val="Calibri"/>
      <family val="2"/>
      <scheme val="minor"/>
    </font>
    <font>
      <b/>
      <sz val="11"/>
      <color rgb="FF002060"/>
      <name val="Calibri"/>
      <family val="2"/>
      <scheme val="minor"/>
    </font>
  </fonts>
  <fills count="3">
    <fill>
      <patternFill patternType="none"/>
    </fill>
    <fill>
      <patternFill patternType="gray125"/>
    </fill>
    <fill>
      <patternFill patternType="solid">
        <fgColor theme="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xf numFmtId="0" fontId="0" fillId="0" borderId="1" xfId="0" applyBorder="1"/>
    <xf numFmtId="0" fontId="0" fillId="0" borderId="0" xfId="0" pivotButton="1"/>
    <xf numFmtId="0" fontId="0" fillId="0" borderId="0" xfId="0" applyAlignment="1">
      <alignment horizontal="left"/>
    </xf>
    <xf numFmtId="0" fontId="1" fillId="2" borderId="2" xfId="0" applyFont="1" applyFill="1" applyBorder="1"/>
    <xf numFmtId="0" fontId="0" fillId="0" borderId="2" xfId="0" applyBorder="1"/>
    <xf numFmtId="170" fontId="0" fillId="0" borderId="1" xfId="0" applyNumberFormat="1" applyBorder="1"/>
    <xf numFmtId="0" fontId="0" fillId="0" borderId="0" xfId="0" applyNumberFormat="1"/>
    <xf numFmtId="172" fontId="0" fillId="0" borderId="0" xfId="0" applyNumberFormat="1"/>
    <xf numFmtId="1" fontId="0" fillId="0" borderId="0" xfId="0" applyNumberFormat="1"/>
  </cellXfs>
  <cellStyles count="1">
    <cellStyle name="Normal" xfId="0" builtinId="0"/>
  </cellStyles>
  <dxfs count="19">
    <dxf>
      <numFmt numFmtId="2" formatCode="0.00"/>
    </dxf>
    <dxf>
      <numFmt numFmtId="0" formatCode="General"/>
    </dxf>
    <dxf>
      <numFmt numFmtId="2" formatCode="0.0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 formatCode="0"/>
    </dxf>
    <dxf>
      <numFmt numFmtId="172" formatCode="&quot;₹&quot;\ #,##0"/>
    </dxf>
    <dxf>
      <font>
        <b/>
        <sz val="11"/>
        <color theme="1"/>
      </font>
    </dxf>
    <dxf>
      <font>
        <color theme="0"/>
      </font>
      <fill>
        <patternFill patternType="solid">
          <fgColor theme="0"/>
          <bgColor rgb="FF00206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002060"/>
        </patternFill>
      </fill>
    </dxf>
    <dxf>
      <font>
        <sz val="12"/>
        <color theme="2"/>
      </font>
      <fill>
        <patternFill patternType="solid">
          <fgColor auto="1"/>
          <bgColor rgb="FF002060"/>
        </patternFill>
      </fill>
    </dxf>
  </dxfs>
  <tableStyles count="3" defaultTableStyle="TableStyleMedium9" defaultPivotStyle="PivotStyleLight16">
    <tableStyle name="Slicer Style 1" pivot="0" table="0" count="1" xr9:uid="{8197B772-5498-43D5-894F-FDAB6EB500A1}">
      <tableStyleElement type="wholeTable" dxfId="18"/>
    </tableStyle>
    <tableStyle name="Slicer Style 2" pivot="0" table="0" count="2" xr9:uid="{B2592056-3B0D-4E91-B3A1-3E5F0F50B5BA}">
      <tableStyleElement type="wholeTable" dxfId="17"/>
    </tableStyle>
    <tableStyle name="Timeline Style 1" pivot="0" table="0" count="8" xr9:uid="{5A83A6C4-E96B-45BF-992F-EA8C0BC7B025}">
      <tableStyleElement type="wholeTable" dxfId="16"/>
      <tableStyleElement type="headerRow" dxfId="15"/>
    </tableStyle>
  </tableStyles>
  <extLst>
    <ext xmlns:x14="http://schemas.microsoft.com/office/spreadsheetml/2009/9/main" uri="{46F421CA-312F-682f-3DD2-61675219B42D}">
      <x14:dxfs count="1">
        <dxf>
          <fill>
            <patternFill>
              <bgColor rgb="FF92D05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rgb="FF00206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[course_data.xlsx]pivot!PivotTable3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pivot!$B$2</c:f>
              <c:strCache>
                <c:ptCount val="1"/>
                <c:pt idx="0">
                  <c:v>Total</c:v>
                </c:pt>
              </c:strCache>
            </c:strRef>
          </c:tx>
          <c:spPr>
            <a:solidFill>
              <a:schemeClr val="accent1"/>
            </a:solidFill>
            <a:ln>
              <a:noFill/>
            </a:ln>
            <a:effectLst/>
            <a:sp3d/>
          </c:spPr>
          <c:invertIfNegative val="0"/>
          <c:cat>
            <c:strRef>
              <c:f>pivot!$A$3:$A$13</c:f>
              <c:strCache>
                <c:ptCount val="10"/>
                <c:pt idx="0">
                  <c:v>Advanced Excel</c:v>
                </c:pt>
                <c:pt idx="1">
                  <c:v>AI &amp; Machine Learning</c:v>
                </c:pt>
                <c:pt idx="2">
                  <c:v>Cloud Computing Basics</c:v>
                </c:pt>
                <c:pt idx="3">
                  <c:v>Cybersecurity Essentials</c:v>
                </c:pt>
                <c:pt idx="4">
                  <c:v>Digital Marketing Pro</c:v>
                </c:pt>
                <c:pt idx="5">
                  <c:v>Power BI Mastery</c:v>
                </c:pt>
                <c:pt idx="6">
                  <c:v>Project Management</c:v>
                </c:pt>
                <c:pt idx="7">
                  <c:v>Python for Data Science</c:v>
                </c:pt>
                <c:pt idx="8">
                  <c:v>RHCSA Linux Admin</c:v>
                </c:pt>
                <c:pt idx="9">
                  <c:v>Web Development Bootcamp</c:v>
                </c:pt>
              </c:strCache>
            </c:strRef>
          </c:cat>
          <c:val>
            <c:numRef>
              <c:f>pivot!$B$3:$B$13</c:f>
              <c:numCache>
                <c:formatCode>"₹"\ #,##0</c:formatCode>
                <c:ptCount val="10"/>
                <c:pt idx="0">
                  <c:v>66443391</c:v>
                </c:pt>
                <c:pt idx="1">
                  <c:v>61255149</c:v>
                </c:pt>
                <c:pt idx="2">
                  <c:v>39191847</c:v>
                </c:pt>
                <c:pt idx="3">
                  <c:v>52978579</c:v>
                </c:pt>
                <c:pt idx="4">
                  <c:v>59175985</c:v>
                </c:pt>
                <c:pt idx="5">
                  <c:v>43223341</c:v>
                </c:pt>
                <c:pt idx="6">
                  <c:v>74836835</c:v>
                </c:pt>
                <c:pt idx="7">
                  <c:v>59809524</c:v>
                </c:pt>
                <c:pt idx="8">
                  <c:v>51873573</c:v>
                </c:pt>
                <c:pt idx="9">
                  <c:v>71873683</c:v>
                </c:pt>
              </c:numCache>
            </c:numRef>
          </c:val>
          <c:extLst>
            <c:ext xmlns:c16="http://schemas.microsoft.com/office/drawing/2014/chart" uri="{C3380CC4-5D6E-409C-BE32-E72D297353CC}">
              <c16:uniqueId val="{00000000-B703-489B-A12E-9C20AFE2ECA1}"/>
            </c:ext>
          </c:extLst>
        </c:ser>
        <c:dLbls>
          <c:showLegendKey val="0"/>
          <c:showVal val="0"/>
          <c:showCatName val="0"/>
          <c:showSerName val="0"/>
          <c:showPercent val="0"/>
          <c:showBubbleSize val="0"/>
        </c:dLbls>
        <c:gapWidth val="150"/>
        <c:shape val="box"/>
        <c:axId val="232374319"/>
        <c:axId val="232372879"/>
        <c:axId val="0"/>
      </c:bar3DChart>
      <c:catAx>
        <c:axId val="232374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372879"/>
        <c:crosses val="autoZero"/>
        <c:auto val="1"/>
        <c:lblAlgn val="ctr"/>
        <c:lblOffset val="100"/>
        <c:noMultiLvlLbl val="0"/>
      </c:catAx>
      <c:valAx>
        <c:axId val="2323728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37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[course_data.xlsx]pivot!PivotTable4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pivot!$G$2</c:f>
              <c:strCache>
                <c:ptCount val="1"/>
                <c:pt idx="0">
                  <c:v>Total</c:v>
                </c:pt>
              </c:strCache>
            </c:strRef>
          </c:tx>
          <c:spPr>
            <a:solidFill>
              <a:schemeClr val="accent1"/>
            </a:solidFill>
            <a:ln>
              <a:noFill/>
            </a:ln>
            <a:effectLst/>
            <a:sp3d/>
          </c:spPr>
          <c:invertIfNegative val="0"/>
          <c:cat>
            <c:strRef>
              <c:f>pivot!$F$3:$F$13</c:f>
              <c:strCache>
                <c:ptCount val="10"/>
                <c:pt idx="0">
                  <c:v>Delhi</c:v>
                </c:pt>
                <c:pt idx="1">
                  <c:v>Gujarat</c:v>
                </c:pt>
                <c:pt idx="2">
                  <c:v>Karnataka</c:v>
                </c:pt>
                <c:pt idx="3">
                  <c:v>Madhya Pradesh</c:v>
                </c:pt>
                <c:pt idx="4">
                  <c:v>Maharashtra</c:v>
                </c:pt>
                <c:pt idx="5">
                  <c:v>Rajasthan</c:v>
                </c:pt>
                <c:pt idx="6">
                  <c:v>Tamil Nadu</c:v>
                </c:pt>
                <c:pt idx="7">
                  <c:v>Telangana</c:v>
                </c:pt>
                <c:pt idx="8">
                  <c:v>Uttar Pradesh</c:v>
                </c:pt>
                <c:pt idx="9">
                  <c:v>West Bengal</c:v>
                </c:pt>
              </c:strCache>
            </c:strRef>
          </c:cat>
          <c:val>
            <c:numRef>
              <c:f>pivot!$G$3:$G$13</c:f>
              <c:numCache>
                <c:formatCode>0</c:formatCode>
                <c:ptCount val="10"/>
                <c:pt idx="0">
                  <c:v>8740</c:v>
                </c:pt>
                <c:pt idx="1">
                  <c:v>9551</c:v>
                </c:pt>
                <c:pt idx="2">
                  <c:v>12341</c:v>
                </c:pt>
                <c:pt idx="3">
                  <c:v>15845</c:v>
                </c:pt>
                <c:pt idx="4">
                  <c:v>13641</c:v>
                </c:pt>
                <c:pt idx="5">
                  <c:v>10662</c:v>
                </c:pt>
                <c:pt idx="6">
                  <c:v>15620</c:v>
                </c:pt>
                <c:pt idx="7">
                  <c:v>13272</c:v>
                </c:pt>
                <c:pt idx="8">
                  <c:v>13363</c:v>
                </c:pt>
                <c:pt idx="9">
                  <c:v>12296</c:v>
                </c:pt>
              </c:numCache>
            </c:numRef>
          </c:val>
          <c:extLst>
            <c:ext xmlns:c16="http://schemas.microsoft.com/office/drawing/2014/chart" uri="{C3380CC4-5D6E-409C-BE32-E72D297353CC}">
              <c16:uniqueId val="{00000000-E975-4809-A8C3-0DFC059D7477}"/>
            </c:ext>
          </c:extLst>
        </c:ser>
        <c:dLbls>
          <c:showLegendKey val="0"/>
          <c:showVal val="0"/>
          <c:showCatName val="0"/>
          <c:showSerName val="0"/>
          <c:showPercent val="0"/>
          <c:showBubbleSize val="0"/>
        </c:dLbls>
        <c:gapWidth val="150"/>
        <c:shape val="box"/>
        <c:axId val="232404079"/>
        <c:axId val="232408399"/>
        <c:axId val="0"/>
      </c:bar3DChart>
      <c:catAx>
        <c:axId val="232404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408399"/>
        <c:crosses val="autoZero"/>
        <c:auto val="1"/>
        <c:lblAlgn val="ctr"/>
        <c:lblOffset val="100"/>
        <c:noMultiLvlLbl val="0"/>
      </c:catAx>
      <c:valAx>
        <c:axId val="232408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40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[course_data.xlsx]pivot!PivotTable3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pivot!$B$2</c:f>
              <c:strCache>
                <c:ptCount val="1"/>
                <c:pt idx="0">
                  <c:v>Total</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Advanced Excel</c:v>
                </c:pt>
                <c:pt idx="1">
                  <c:v>AI &amp; Machine Learning</c:v>
                </c:pt>
                <c:pt idx="2">
                  <c:v>Cloud Computing Basics</c:v>
                </c:pt>
                <c:pt idx="3">
                  <c:v>Cybersecurity Essentials</c:v>
                </c:pt>
                <c:pt idx="4">
                  <c:v>Digital Marketing Pro</c:v>
                </c:pt>
                <c:pt idx="5">
                  <c:v>Power BI Mastery</c:v>
                </c:pt>
                <c:pt idx="6">
                  <c:v>Project Management</c:v>
                </c:pt>
                <c:pt idx="7">
                  <c:v>Python for Data Science</c:v>
                </c:pt>
                <c:pt idx="8">
                  <c:v>RHCSA Linux Admin</c:v>
                </c:pt>
                <c:pt idx="9">
                  <c:v>Web Development Bootcamp</c:v>
                </c:pt>
              </c:strCache>
            </c:strRef>
          </c:cat>
          <c:val>
            <c:numRef>
              <c:f>pivot!$B$3:$B$13</c:f>
              <c:numCache>
                <c:formatCode>"₹"\ #,##0</c:formatCode>
                <c:ptCount val="10"/>
                <c:pt idx="0">
                  <c:v>66443391</c:v>
                </c:pt>
                <c:pt idx="1">
                  <c:v>61255149</c:v>
                </c:pt>
                <c:pt idx="2">
                  <c:v>39191847</c:v>
                </c:pt>
                <c:pt idx="3">
                  <c:v>52978579</c:v>
                </c:pt>
                <c:pt idx="4">
                  <c:v>59175985</c:v>
                </c:pt>
                <c:pt idx="5">
                  <c:v>43223341</c:v>
                </c:pt>
                <c:pt idx="6">
                  <c:v>74836835</c:v>
                </c:pt>
                <c:pt idx="7">
                  <c:v>59809524</c:v>
                </c:pt>
                <c:pt idx="8">
                  <c:v>51873573</c:v>
                </c:pt>
                <c:pt idx="9">
                  <c:v>71873683</c:v>
                </c:pt>
              </c:numCache>
            </c:numRef>
          </c:val>
          <c:extLst>
            <c:ext xmlns:c16="http://schemas.microsoft.com/office/drawing/2014/chart" uri="{C3380CC4-5D6E-409C-BE32-E72D297353CC}">
              <c16:uniqueId val="{00000000-B505-4227-8DEF-1E2EA12C4509}"/>
            </c:ext>
          </c:extLst>
        </c:ser>
        <c:dLbls>
          <c:showLegendKey val="0"/>
          <c:showVal val="1"/>
          <c:showCatName val="0"/>
          <c:showSerName val="0"/>
          <c:showPercent val="0"/>
          <c:showBubbleSize val="0"/>
        </c:dLbls>
        <c:gapWidth val="150"/>
        <c:shape val="box"/>
        <c:axId val="232374319"/>
        <c:axId val="232372879"/>
        <c:axId val="0"/>
      </c:bar3DChart>
      <c:catAx>
        <c:axId val="2323743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32372879"/>
        <c:crosses val="autoZero"/>
        <c:auto val="1"/>
        <c:lblAlgn val="ctr"/>
        <c:lblOffset val="100"/>
        <c:noMultiLvlLbl val="0"/>
      </c:catAx>
      <c:valAx>
        <c:axId val="232372879"/>
        <c:scaling>
          <c:orientation val="minMax"/>
        </c:scaling>
        <c:delete val="1"/>
        <c:axPos val="b"/>
        <c:numFmt formatCode="&quot;₹&quot;\ #,##0" sourceLinked="1"/>
        <c:majorTickMark val="none"/>
        <c:minorTickMark val="none"/>
        <c:tickLblPos val="nextTo"/>
        <c:crossAx val="23237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[course_data.xlsx]pivot!PivotTable4</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pivot!$G$2</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pivot!$F$3:$F$13</c:f>
              <c:strCache>
                <c:ptCount val="10"/>
                <c:pt idx="0">
                  <c:v>Delhi</c:v>
                </c:pt>
                <c:pt idx="1">
                  <c:v>Gujarat</c:v>
                </c:pt>
                <c:pt idx="2">
                  <c:v>Karnataka</c:v>
                </c:pt>
                <c:pt idx="3">
                  <c:v>Madhya Pradesh</c:v>
                </c:pt>
                <c:pt idx="4">
                  <c:v>Maharashtra</c:v>
                </c:pt>
                <c:pt idx="5">
                  <c:v>Rajasthan</c:v>
                </c:pt>
                <c:pt idx="6">
                  <c:v>Tamil Nadu</c:v>
                </c:pt>
                <c:pt idx="7">
                  <c:v>Telangana</c:v>
                </c:pt>
                <c:pt idx="8">
                  <c:v>Uttar Pradesh</c:v>
                </c:pt>
                <c:pt idx="9">
                  <c:v>West Bengal</c:v>
                </c:pt>
              </c:strCache>
            </c:strRef>
          </c:cat>
          <c:val>
            <c:numRef>
              <c:f>pivot!$G$3:$G$13</c:f>
              <c:numCache>
                <c:formatCode>0</c:formatCode>
                <c:ptCount val="10"/>
                <c:pt idx="0">
                  <c:v>8740</c:v>
                </c:pt>
                <c:pt idx="1">
                  <c:v>9551</c:v>
                </c:pt>
                <c:pt idx="2">
                  <c:v>12341</c:v>
                </c:pt>
                <c:pt idx="3">
                  <c:v>15845</c:v>
                </c:pt>
                <c:pt idx="4">
                  <c:v>13641</c:v>
                </c:pt>
                <c:pt idx="5">
                  <c:v>10662</c:v>
                </c:pt>
                <c:pt idx="6">
                  <c:v>15620</c:v>
                </c:pt>
                <c:pt idx="7">
                  <c:v>13272</c:v>
                </c:pt>
                <c:pt idx="8">
                  <c:v>13363</c:v>
                </c:pt>
                <c:pt idx="9">
                  <c:v>12296</c:v>
                </c:pt>
              </c:numCache>
            </c:numRef>
          </c:val>
          <c:extLst>
            <c:ext xmlns:c16="http://schemas.microsoft.com/office/drawing/2014/chart" uri="{C3380CC4-5D6E-409C-BE32-E72D297353CC}">
              <c16:uniqueId val="{00000000-EE6E-4D6D-AD8C-E9A04F585B0C}"/>
            </c:ext>
          </c:extLst>
        </c:ser>
        <c:dLbls>
          <c:showLegendKey val="0"/>
          <c:showVal val="0"/>
          <c:showCatName val="0"/>
          <c:showSerName val="0"/>
          <c:showPercent val="0"/>
          <c:showBubbleSize val="0"/>
        </c:dLbls>
        <c:gapWidth val="150"/>
        <c:shape val="box"/>
        <c:axId val="232404079"/>
        <c:axId val="232408399"/>
        <c:axId val="0"/>
      </c:bar3DChart>
      <c:catAx>
        <c:axId val="232404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lumMod val="95000"/>
                  </a:schemeClr>
                </a:solidFill>
                <a:latin typeface="+mn-lt"/>
                <a:ea typeface="+mn-ea"/>
                <a:cs typeface="+mn-cs"/>
              </a:defRPr>
            </a:pPr>
            <a:endParaRPr lang="en-US"/>
          </a:p>
        </c:txPr>
        <c:crossAx val="232408399"/>
        <c:crosses val="autoZero"/>
        <c:auto val="1"/>
        <c:lblAlgn val="ctr"/>
        <c:lblOffset val="100"/>
        <c:noMultiLvlLbl val="0"/>
      </c:catAx>
      <c:valAx>
        <c:axId val="232408399"/>
        <c:scaling>
          <c:orientation val="minMax"/>
        </c:scaling>
        <c:delete val="1"/>
        <c:axPos val="l"/>
        <c:numFmt formatCode="0" sourceLinked="1"/>
        <c:majorTickMark val="none"/>
        <c:minorTickMark val="none"/>
        <c:tickLblPos val="nextTo"/>
        <c:crossAx val="23240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9</xdr:col>
      <xdr:colOff>99060</xdr:colOff>
      <xdr:row>13</xdr:row>
      <xdr:rowOff>129540</xdr:rowOff>
    </xdr:from>
    <xdr:to>
      <xdr:col>12</xdr:col>
      <xdr:colOff>99060</xdr:colOff>
      <xdr:row>27</xdr:row>
      <xdr:rowOff>36195</xdr:rowOff>
    </xdr:to>
    <mc:AlternateContent xmlns:mc="http://schemas.openxmlformats.org/markup-compatibility/2006">
      <mc:Choice xmlns:a14="http://schemas.microsoft.com/office/drawing/2010/main" Requires="a14">
        <xdr:graphicFrame macro="">
          <xdr:nvGraphicFramePr>
            <xdr:cNvPr id="3" name="Course Name">
              <a:extLst>
                <a:ext uri="{FF2B5EF4-FFF2-40B4-BE49-F238E27FC236}">
                  <a16:creationId xmlns:a16="http://schemas.microsoft.com/office/drawing/2014/main" id="{6AA9991D-8ECB-6D0A-3710-AC4AE0C0BE59}"/>
                </a:ext>
              </a:extLst>
            </xdr:cNvPr>
            <xdr:cNvGraphicFramePr/>
          </xdr:nvGraphicFramePr>
          <xdr:xfrm>
            <a:off x="0" y="0"/>
            <a:ext cx="0" cy="0"/>
          </xdr:xfrm>
          <a:graphic>
            <a:graphicData uri="http://schemas.microsoft.com/office/drawing/2010/slicer">
              <sle:slicer xmlns:sle="http://schemas.microsoft.com/office/drawing/2010/slicer" name="Course Name"/>
            </a:graphicData>
          </a:graphic>
        </xdr:graphicFrame>
      </mc:Choice>
      <mc:Fallback>
        <xdr:sp macro="" textlink="">
          <xdr:nvSpPr>
            <xdr:cNvPr id="0" name=""/>
            <xdr:cNvSpPr>
              <a:spLocks noTextEdit="1"/>
            </xdr:cNvSpPr>
          </xdr:nvSpPr>
          <xdr:spPr>
            <a:xfrm>
              <a:off x="11003280" y="2506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15</xdr:row>
      <xdr:rowOff>91440</xdr:rowOff>
    </xdr:from>
    <xdr:to>
      <xdr:col>5</xdr:col>
      <xdr:colOff>784860</xdr:colOff>
      <xdr:row>28</xdr:row>
      <xdr:rowOff>180975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B577F44D-6DB7-912B-E944-AB0AA38CA3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29300" y="2834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777240</xdr:colOff>
      <xdr:row>14</xdr:row>
      <xdr:rowOff>152400</xdr:rowOff>
    </xdr:from>
    <xdr:to>
      <xdr:col>3</xdr:col>
      <xdr:colOff>1341120</xdr:colOff>
      <xdr:row>28</xdr:row>
      <xdr:rowOff>59055</xdr:rowOff>
    </xdr:to>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759DDC3B-ED7C-B4C1-1674-30DE18C2529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787140" y="2712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434340</xdr:colOff>
      <xdr:row>5</xdr:row>
      <xdr:rowOff>121920</xdr:rowOff>
    </xdr:from>
    <xdr:to>
      <xdr:col>19</xdr:col>
      <xdr:colOff>114300</xdr:colOff>
      <xdr:row>13</xdr:row>
      <xdr:rowOff>30480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6AFEF1E2-C66E-02BF-2666-61568790BA2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776960" y="10363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23</xdr:row>
      <xdr:rowOff>121920</xdr:rowOff>
    </xdr:from>
    <xdr:to>
      <xdr:col>1</xdr:col>
      <xdr:colOff>929640</xdr:colOff>
      <xdr:row>29</xdr:row>
      <xdr:rowOff>137160</xdr:rowOff>
    </xdr:to>
    <xdr:graphicFrame macro="">
      <xdr:nvGraphicFramePr>
        <xdr:cNvPr id="7" name="Chart 6">
          <a:extLst>
            <a:ext uri="{FF2B5EF4-FFF2-40B4-BE49-F238E27FC236}">
              <a16:creationId xmlns:a16="http://schemas.microsoft.com/office/drawing/2014/main" id="{B6E117EA-ACCB-A2B2-E6E9-2AFE3CCAA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937260</xdr:colOff>
      <xdr:row>14</xdr:row>
      <xdr:rowOff>129540</xdr:rowOff>
    </xdr:from>
    <xdr:to>
      <xdr:col>8</xdr:col>
      <xdr:colOff>365760</xdr:colOff>
      <xdr:row>28</xdr:row>
      <xdr:rowOff>144780</xdr:rowOff>
    </xdr:to>
    <xdr:graphicFrame macro="">
      <xdr:nvGraphicFramePr>
        <xdr:cNvPr id="8" name="Chart 7">
          <a:extLst>
            <a:ext uri="{FF2B5EF4-FFF2-40B4-BE49-F238E27FC236}">
              <a16:creationId xmlns:a16="http://schemas.microsoft.com/office/drawing/2014/main" id="{6121464E-7086-7EBB-EF5B-477F4238C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141515</xdr:rowOff>
    </xdr:from>
    <xdr:to>
      <xdr:col>23</xdr:col>
      <xdr:colOff>251460</xdr:colOff>
      <xdr:row>44</xdr:row>
      <xdr:rowOff>3267</xdr:rowOff>
    </xdr:to>
    <xdr:sp macro="" textlink="">
      <xdr:nvSpPr>
        <xdr:cNvPr id="2" name="Rectangle 1">
          <a:extLst>
            <a:ext uri="{FF2B5EF4-FFF2-40B4-BE49-F238E27FC236}">
              <a16:creationId xmlns:a16="http://schemas.microsoft.com/office/drawing/2014/main" id="{003D123F-0AE0-AD0F-20BB-35C80A781C90}"/>
            </a:ext>
          </a:extLst>
        </xdr:cNvPr>
        <xdr:cNvSpPr/>
      </xdr:nvSpPr>
      <xdr:spPr>
        <a:xfrm>
          <a:off x="0" y="141515"/>
          <a:ext cx="14272260" cy="8004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478971</xdr:colOff>
      <xdr:row>1</xdr:row>
      <xdr:rowOff>10886</xdr:rowOff>
    </xdr:from>
    <xdr:to>
      <xdr:col>20</xdr:col>
      <xdr:colOff>43543</xdr:colOff>
      <xdr:row>4</xdr:row>
      <xdr:rowOff>119742</xdr:rowOff>
    </xdr:to>
    <xdr:sp macro="" textlink="">
      <xdr:nvSpPr>
        <xdr:cNvPr id="3" name="TextBox 2">
          <a:extLst>
            <a:ext uri="{FF2B5EF4-FFF2-40B4-BE49-F238E27FC236}">
              <a16:creationId xmlns:a16="http://schemas.microsoft.com/office/drawing/2014/main" id="{7CCC871B-4773-0B49-776A-6C237F7AE268}"/>
            </a:ext>
          </a:extLst>
        </xdr:cNvPr>
        <xdr:cNvSpPr txBox="1"/>
      </xdr:nvSpPr>
      <xdr:spPr>
        <a:xfrm>
          <a:off x="2307771" y="195943"/>
          <a:ext cx="9927772" cy="664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rgbClr val="FFFF00"/>
              </a:solidFill>
            </a:rPr>
            <a:t>Online Course Enrollment Dashboard</a:t>
          </a:r>
        </a:p>
      </xdr:txBody>
    </xdr:sp>
    <xdr:clientData/>
  </xdr:twoCellAnchor>
  <xdr:twoCellAnchor editAs="oneCell">
    <xdr:from>
      <xdr:col>0</xdr:col>
      <xdr:colOff>156754</xdr:colOff>
      <xdr:row>8</xdr:row>
      <xdr:rowOff>130628</xdr:rowOff>
    </xdr:from>
    <xdr:to>
      <xdr:col>3</xdr:col>
      <xdr:colOff>21771</xdr:colOff>
      <xdr:row>21</xdr:row>
      <xdr:rowOff>32657</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74748FF5-94FD-4459-8421-0D233672829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6754" y="1611085"/>
              <a:ext cx="1693817" cy="2307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91438</xdr:colOff>
      <xdr:row>8</xdr:row>
      <xdr:rowOff>97972</xdr:rowOff>
    </xdr:from>
    <xdr:to>
      <xdr:col>8</xdr:col>
      <xdr:colOff>43543</xdr:colOff>
      <xdr:row>18</xdr:row>
      <xdr:rowOff>152399</xdr:rowOff>
    </xdr:to>
    <mc:AlternateContent xmlns:mc="http://schemas.openxmlformats.org/markup-compatibility/2006">
      <mc:Choice xmlns:a14="http://schemas.microsoft.com/office/drawing/2010/main" Requires="a14">
        <xdr:graphicFrame macro="">
          <xdr:nvGraphicFramePr>
            <xdr:cNvPr id="5" name="State 1">
              <a:extLst>
                <a:ext uri="{FF2B5EF4-FFF2-40B4-BE49-F238E27FC236}">
                  <a16:creationId xmlns:a16="http://schemas.microsoft.com/office/drawing/2014/main" id="{AF090846-1B6E-4DC3-8FA3-56D14986813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920238" y="1578429"/>
              <a:ext cx="3000105" cy="190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211182</xdr:colOff>
      <xdr:row>8</xdr:row>
      <xdr:rowOff>97971</xdr:rowOff>
    </xdr:from>
    <xdr:to>
      <xdr:col>14</xdr:col>
      <xdr:colOff>511629</xdr:colOff>
      <xdr:row>18</xdr:row>
      <xdr:rowOff>141514</xdr:rowOff>
    </xdr:to>
    <mc:AlternateContent xmlns:mc="http://schemas.openxmlformats.org/markup-compatibility/2006">
      <mc:Choice xmlns:a14="http://schemas.microsoft.com/office/drawing/2010/main" Requires="a14">
        <xdr:graphicFrame macro="">
          <xdr:nvGraphicFramePr>
            <xdr:cNvPr id="6" name="Course Name 1">
              <a:extLst>
                <a:ext uri="{FF2B5EF4-FFF2-40B4-BE49-F238E27FC236}">
                  <a16:creationId xmlns:a16="http://schemas.microsoft.com/office/drawing/2014/main" id="{956B8918-A2A2-4FF7-BBAE-8019957EE3E5}"/>
                </a:ext>
              </a:extLst>
            </xdr:cNvPr>
            <xdr:cNvGraphicFramePr/>
          </xdr:nvGraphicFramePr>
          <xdr:xfrm>
            <a:off x="0" y="0"/>
            <a:ext cx="0" cy="0"/>
          </xdr:xfrm>
          <a:graphic>
            <a:graphicData uri="http://schemas.microsoft.com/office/drawing/2010/slicer">
              <sle:slicer xmlns:sle="http://schemas.microsoft.com/office/drawing/2010/slicer" name="Course Name 1"/>
            </a:graphicData>
          </a:graphic>
        </xdr:graphicFrame>
      </mc:Choice>
      <mc:Fallback>
        <xdr:sp macro="" textlink="">
          <xdr:nvSpPr>
            <xdr:cNvPr id="0" name=""/>
            <xdr:cNvSpPr>
              <a:spLocks noTextEdit="1"/>
            </xdr:cNvSpPr>
          </xdr:nvSpPr>
          <xdr:spPr>
            <a:xfrm>
              <a:off x="5087982" y="1578428"/>
              <a:ext cx="3958047" cy="1894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592182</xdr:colOff>
      <xdr:row>8</xdr:row>
      <xdr:rowOff>76199</xdr:rowOff>
    </xdr:from>
    <xdr:to>
      <xdr:col>22</xdr:col>
      <xdr:colOff>35382</xdr:colOff>
      <xdr:row>14</xdr:row>
      <xdr:rowOff>97971</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7C2783EB-C07A-4A5F-B468-CCF6E582EFF1}"/>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126582" y="1556656"/>
              <a:ext cx="4320000" cy="11321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119742</xdr:colOff>
      <xdr:row>23</xdr:row>
      <xdr:rowOff>10886</xdr:rowOff>
    </xdr:from>
    <xdr:to>
      <xdr:col>3</xdr:col>
      <xdr:colOff>478971</xdr:colOff>
      <xdr:row>27</xdr:row>
      <xdr:rowOff>130629</xdr:rowOff>
    </xdr:to>
    <xdr:sp macro="" textlink="">
      <xdr:nvSpPr>
        <xdr:cNvPr id="8" name="Rectangle: Rounded Corners 7">
          <a:extLst>
            <a:ext uri="{FF2B5EF4-FFF2-40B4-BE49-F238E27FC236}">
              <a16:creationId xmlns:a16="http://schemas.microsoft.com/office/drawing/2014/main" id="{84DFFF20-4BE7-BA43-E1F8-020E8C14900E}"/>
            </a:ext>
          </a:extLst>
        </xdr:cNvPr>
        <xdr:cNvSpPr/>
      </xdr:nvSpPr>
      <xdr:spPr>
        <a:xfrm>
          <a:off x="119742" y="4267200"/>
          <a:ext cx="2188029" cy="859972"/>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185057</xdr:colOff>
      <xdr:row>30</xdr:row>
      <xdr:rowOff>130629</xdr:rowOff>
    </xdr:from>
    <xdr:to>
      <xdr:col>4</xdr:col>
      <xdr:colOff>446314</xdr:colOff>
      <xdr:row>35</xdr:row>
      <xdr:rowOff>65315</xdr:rowOff>
    </xdr:to>
    <xdr:sp macro="" textlink="">
      <xdr:nvSpPr>
        <xdr:cNvPr id="9" name="Rectangle: Rounded Corners 8">
          <a:extLst>
            <a:ext uri="{FF2B5EF4-FFF2-40B4-BE49-F238E27FC236}">
              <a16:creationId xmlns:a16="http://schemas.microsoft.com/office/drawing/2014/main" id="{3DBEC561-0DE7-5A22-3311-CD7DAC9F5796}"/>
            </a:ext>
          </a:extLst>
        </xdr:cNvPr>
        <xdr:cNvSpPr/>
      </xdr:nvSpPr>
      <xdr:spPr>
        <a:xfrm>
          <a:off x="185057" y="5682343"/>
          <a:ext cx="2699657" cy="859972"/>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65314</xdr:colOff>
      <xdr:row>23</xdr:row>
      <xdr:rowOff>21772</xdr:rowOff>
    </xdr:from>
    <xdr:to>
      <xdr:col>7</xdr:col>
      <xdr:colOff>370114</xdr:colOff>
      <xdr:row>27</xdr:row>
      <xdr:rowOff>141515</xdr:rowOff>
    </xdr:to>
    <xdr:sp macro="" textlink="">
      <xdr:nvSpPr>
        <xdr:cNvPr id="10" name="Rectangle: Rounded Corners 9">
          <a:extLst>
            <a:ext uri="{FF2B5EF4-FFF2-40B4-BE49-F238E27FC236}">
              <a16:creationId xmlns:a16="http://schemas.microsoft.com/office/drawing/2014/main" id="{BCC1C52C-853D-E052-7C2E-3660EA24D538}"/>
            </a:ext>
          </a:extLst>
        </xdr:cNvPr>
        <xdr:cNvSpPr/>
      </xdr:nvSpPr>
      <xdr:spPr>
        <a:xfrm>
          <a:off x="2503714" y="4278086"/>
          <a:ext cx="2133600" cy="859972"/>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600">
            <a:solidFill>
              <a:schemeClr val="bg1"/>
            </a:solidFill>
          </a:endParaRPr>
        </a:p>
      </xdr:txBody>
    </xdr:sp>
    <xdr:clientData/>
  </xdr:twoCellAnchor>
  <xdr:twoCellAnchor editAs="oneCell">
    <xdr:from>
      <xdr:col>0</xdr:col>
      <xdr:colOff>43540</xdr:colOff>
      <xdr:row>23</xdr:row>
      <xdr:rowOff>130630</xdr:rowOff>
    </xdr:from>
    <xdr:to>
      <xdr:col>1</xdr:col>
      <xdr:colOff>117940</xdr:colOff>
      <xdr:row>27</xdr:row>
      <xdr:rowOff>74401</xdr:rowOff>
    </xdr:to>
    <xdr:pic>
      <xdr:nvPicPr>
        <xdr:cNvPr id="12" name="Graphic 11" descr="Rupee">
          <a:extLst>
            <a:ext uri="{FF2B5EF4-FFF2-40B4-BE49-F238E27FC236}">
              <a16:creationId xmlns:a16="http://schemas.microsoft.com/office/drawing/2014/main" id="{CD55CD6E-335A-EBE8-6045-A8CF0A5677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540" y="4386944"/>
          <a:ext cx="684000" cy="684000"/>
        </a:xfrm>
        <a:prstGeom prst="rect">
          <a:avLst/>
        </a:prstGeom>
      </xdr:spPr>
    </xdr:pic>
    <xdr:clientData/>
  </xdr:twoCellAnchor>
  <xdr:twoCellAnchor editAs="oneCell">
    <xdr:from>
      <xdr:col>4</xdr:col>
      <xdr:colOff>76201</xdr:colOff>
      <xdr:row>24</xdr:row>
      <xdr:rowOff>21779</xdr:rowOff>
    </xdr:from>
    <xdr:to>
      <xdr:col>4</xdr:col>
      <xdr:colOff>555165</xdr:colOff>
      <xdr:row>26</xdr:row>
      <xdr:rowOff>130628</xdr:rowOff>
    </xdr:to>
    <xdr:pic>
      <xdr:nvPicPr>
        <xdr:cNvPr id="14" name="Graphic 13" descr="Users">
          <a:extLst>
            <a:ext uri="{FF2B5EF4-FFF2-40B4-BE49-F238E27FC236}">
              <a16:creationId xmlns:a16="http://schemas.microsoft.com/office/drawing/2014/main" id="{8EB8A10B-0D73-DB40-23C7-0616922A1F8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14601" y="4463150"/>
          <a:ext cx="478964" cy="478964"/>
        </a:xfrm>
        <a:prstGeom prst="rect">
          <a:avLst/>
        </a:prstGeom>
      </xdr:spPr>
    </xdr:pic>
    <xdr:clientData/>
  </xdr:twoCellAnchor>
  <xdr:twoCellAnchor editAs="oneCell">
    <xdr:from>
      <xdr:col>0</xdr:col>
      <xdr:colOff>293914</xdr:colOff>
      <xdr:row>31</xdr:row>
      <xdr:rowOff>141515</xdr:rowOff>
    </xdr:from>
    <xdr:to>
      <xdr:col>1</xdr:col>
      <xdr:colOff>260314</xdr:colOff>
      <xdr:row>34</xdr:row>
      <xdr:rowOff>162343</xdr:rowOff>
    </xdr:to>
    <xdr:pic>
      <xdr:nvPicPr>
        <xdr:cNvPr id="16" name="Graphic 15" descr="Open book">
          <a:extLst>
            <a:ext uri="{FF2B5EF4-FFF2-40B4-BE49-F238E27FC236}">
              <a16:creationId xmlns:a16="http://schemas.microsoft.com/office/drawing/2014/main" id="{70B1FF84-2BAF-8ABC-4383-32B3DB1E9C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3914" y="5878286"/>
          <a:ext cx="576000" cy="576000"/>
        </a:xfrm>
        <a:prstGeom prst="rect">
          <a:avLst/>
        </a:prstGeom>
      </xdr:spPr>
    </xdr:pic>
    <xdr:clientData/>
  </xdr:twoCellAnchor>
  <xdr:twoCellAnchor>
    <xdr:from>
      <xdr:col>8</xdr:col>
      <xdr:colOff>76199</xdr:colOff>
      <xdr:row>22</xdr:row>
      <xdr:rowOff>130629</xdr:rowOff>
    </xdr:from>
    <xdr:to>
      <xdr:col>15</xdr:col>
      <xdr:colOff>380999</xdr:colOff>
      <xdr:row>37</xdr:row>
      <xdr:rowOff>97972</xdr:rowOff>
    </xdr:to>
    <xdr:graphicFrame macro="">
      <xdr:nvGraphicFramePr>
        <xdr:cNvPr id="17" name="Chart 16">
          <a:extLst>
            <a:ext uri="{FF2B5EF4-FFF2-40B4-BE49-F238E27FC236}">
              <a16:creationId xmlns:a16="http://schemas.microsoft.com/office/drawing/2014/main" id="{E46EA76D-8091-4A66-A399-2CE13C4AA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500741</xdr:colOff>
      <xdr:row>22</xdr:row>
      <xdr:rowOff>108857</xdr:rowOff>
    </xdr:from>
    <xdr:to>
      <xdr:col>23</xdr:col>
      <xdr:colOff>43542</xdr:colOff>
      <xdr:row>37</xdr:row>
      <xdr:rowOff>97971</xdr:rowOff>
    </xdr:to>
    <xdr:graphicFrame macro="">
      <xdr:nvGraphicFramePr>
        <xdr:cNvPr id="18" name="Chart 17">
          <a:extLst>
            <a:ext uri="{FF2B5EF4-FFF2-40B4-BE49-F238E27FC236}">
              <a16:creationId xmlns:a16="http://schemas.microsoft.com/office/drawing/2014/main" id="{1CCED36B-76E4-4DE4-A767-28089743C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25</xdr:row>
      <xdr:rowOff>32657</xdr:rowOff>
    </xdr:from>
    <xdr:to>
      <xdr:col>3</xdr:col>
      <xdr:colOff>304800</xdr:colOff>
      <xdr:row>27</xdr:row>
      <xdr:rowOff>32657</xdr:rowOff>
    </xdr:to>
    <xdr:sp macro="" textlink="">
      <xdr:nvSpPr>
        <xdr:cNvPr id="19" name="TextBox 18">
          <a:extLst>
            <a:ext uri="{FF2B5EF4-FFF2-40B4-BE49-F238E27FC236}">
              <a16:creationId xmlns:a16="http://schemas.microsoft.com/office/drawing/2014/main" id="{A753697C-7B0A-79BA-D01F-A7C5EA3D3D66}"/>
            </a:ext>
          </a:extLst>
        </xdr:cNvPr>
        <xdr:cNvSpPr txBox="1"/>
      </xdr:nvSpPr>
      <xdr:spPr>
        <a:xfrm>
          <a:off x="609600" y="4659086"/>
          <a:ext cx="1524000"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Total Revenue</a:t>
          </a:r>
        </a:p>
      </xdr:txBody>
    </xdr:sp>
    <xdr:clientData/>
  </xdr:twoCellAnchor>
  <xdr:twoCellAnchor>
    <xdr:from>
      <xdr:col>1</xdr:col>
      <xdr:colOff>478971</xdr:colOff>
      <xdr:row>33</xdr:row>
      <xdr:rowOff>21772</xdr:rowOff>
    </xdr:from>
    <xdr:to>
      <xdr:col>4</xdr:col>
      <xdr:colOff>174171</xdr:colOff>
      <xdr:row>35</xdr:row>
      <xdr:rowOff>21772</xdr:rowOff>
    </xdr:to>
    <xdr:sp macro="" textlink="">
      <xdr:nvSpPr>
        <xdr:cNvPr id="20" name="TextBox 19">
          <a:extLst>
            <a:ext uri="{FF2B5EF4-FFF2-40B4-BE49-F238E27FC236}">
              <a16:creationId xmlns:a16="http://schemas.microsoft.com/office/drawing/2014/main" id="{61419ACD-E744-993F-A55B-62A3A699BCF0}"/>
            </a:ext>
          </a:extLst>
        </xdr:cNvPr>
        <xdr:cNvSpPr txBox="1"/>
      </xdr:nvSpPr>
      <xdr:spPr>
        <a:xfrm>
          <a:off x="1088571" y="6128658"/>
          <a:ext cx="1524000"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Total Courses</a:t>
          </a:r>
        </a:p>
      </xdr:txBody>
    </xdr:sp>
    <xdr:clientData/>
  </xdr:twoCellAnchor>
  <xdr:twoCellAnchor>
    <xdr:from>
      <xdr:col>5</xdr:col>
      <xdr:colOff>32657</xdr:colOff>
      <xdr:row>25</xdr:row>
      <xdr:rowOff>54429</xdr:rowOff>
    </xdr:from>
    <xdr:to>
      <xdr:col>7</xdr:col>
      <xdr:colOff>337457</xdr:colOff>
      <xdr:row>27</xdr:row>
      <xdr:rowOff>54429</xdr:rowOff>
    </xdr:to>
    <xdr:sp macro="" textlink="">
      <xdr:nvSpPr>
        <xdr:cNvPr id="21" name="TextBox 20">
          <a:extLst>
            <a:ext uri="{FF2B5EF4-FFF2-40B4-BE49-F238E27FC236}">
              <a16:creationId xmlns:a16="http://schemas.microsoft.com/office/drawing/2014/main" id="{E5396DD4-AE0E-B7B9-D093-DFBA9253A82F}"/>
            </a:ext>
          </a:extLst>
        </xdr:cNvPr>
        <xdr:cNvSpPr txBox="1"/>
      </xdr:nvSpPr>
      <xdr:spPr>
        <a:xfrm>
          <a:off x="3080657" y="4680858"/>
          <a:ext cx="1524000"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Total Enrollments</a:t>
          </a:r>
        </a:p>
      </xdr:txBody>
    </xdr:sp>
    <xdr:clientData/>
  </xdr:twoCellAnchor>
  <xdr:twoCellAnchor>
    <xdr:from>
      <xdr:col>1</xdr:col>
      <xdr:colOff>76196</xdr:colOff>
      <xdr:row>23</xdr:row>
      <xdr:rowOff>108860</xdr:rowOff>
    </xdr:from>
    <xdr:to>
      <xdr:col>3</xdr:col>
      <xdr:colOff>380996</xdr:colOff>
      <xdr:row>25</xdr:row>
      <xdr:rowOff>108859</xdr:rowOff>
    </xdr:to>
    <xdr:sp macro="" textlink="pivot!E8">
      <xdr:nvSpPr>
        <xdr:cNvPr id="22" name="TextBox 21">
          <a:extLst>
            <a:ext uri="{FF2B5EF4-FFF2-40B4-BE49-F238E27FC236}">
              <a16:creationId xmlns:a16="http://schemas.microsoft.com/office/drawing/2014/main" id="{FC6E86E7-B68E-44CE-9BFD-B97B3865620A}"/>
            </a:ext>
          </a:extLst>
        </xdr:cNvPr>
        <xdr:cNvSpPr txBox="1"/>
      </xdr:nvSpPr>
      <xdr:spPr>
        <a:xfrm>
          <a:off x="685796" y="4365174"/>
          <a:ext cx="1524000"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97DAEE-14DD-4D3F-8C1C-60D474DEC0C7}" type="TxLink">
            <a:rPr lang="en-US" sz="1600" b="1" i="0" u="none" strike="noStrike">
              <a:solidFill>
                <a:schemeClr val="bg1"/>
              </a:solidFill>
              <a:latin typeface="Calibri"/>
              <a:ea typeface="Calibri"/>
              <a:cs typeface="Calibri"/>
            </a:rPr>
            <a:t>₹ 58,06,61,907</a:t>
          </a:fld>
          <a:endParaRPr lang="en-IN" sz="1600" b="1">
            <a:solidFill>
              <a:schemeClr val="bg1"/>
            </a:solidFill>
          </a:endParaRPr>
        </a:p>
      </xdr:txBody>
    </xdr:sp>
    <xdr:clientData/>
  </xdr:twoCellAnchor>
  <xdr:twoCellAnchor>
    <xdr:from>
      <xdr:col>5</xdr:col>
      <xdr:colOff>87084</xdr:colOff>
      <xdr:row>23</xdr:row>
      <xdr:rowOff>163286</xdr:rowOff>
    </xdr:from>
    <xdr:to>
      <xdr:col>7</xdr:col>
      <xdr:colOff>391884</xdr:colOff>
      <xdr:row>25</xdr:row>
      <xdr:rowOff>163285</xdr:rowOff>
    </xdr:to>
    <xdr:sp macro="" textlink="pivot!E11">
      <xdr:nvSpPr>
        <xdr:cNvPr id="23" name="TextBox 22">
          <a:extLst>
            <a:ext uri="{FF2B5EF4-FFF2-40B4-BE49-F238E27FC236}">
              <a16:creationId xmlns:a16="http://schemas.microsoft.com/office/drawing/2014/main" id="{859C3D69-A1D6-4519-A618-B71CE30BDAA4}"/>
            </a:ext>
          </a:extLst>
        </xdr:cNvPr>
        <xdr:cNvSpPr txBox="1"/>
      </xdr:nvSpPr>
      <xdr:spPr>
        <a:xfrm>
          <a:off x="3135084" y="4419600"/>
          <a:ext cx="1524000"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ED796F-56CE-480F-81B0-06B47AE02F41}" type="TxLink">
            <a:rPr lang="en-US" sz="1600" b="1" i="0" u="none" strike="noStrike">
              <a:solidFill>
                <a:schemeClr val="bg1"/>
              </a:solidFill>
              <a:latin typeface="Calibri"/>
              <a:ea typeface="Calibri"/>
              <a:cs typeface="Calibri"/>
            </a:rPr>
            <a:t>125331</a:t>
          </a:fld>
          <a:endParaRPr lang="en-IN" sz="1600" b="1">
            <a:solidFill>
              <a:schemeClr val="bg1"/>
            </a:solidFill>
          </a:endParaRPr>
        </a:p>
      </xdr:txBody>
    </xdr:sp>
    <xdr:clientData/>
  </xdr:twoCellAnchor>
  <xdr:twoCellAnchor>
    <xdr:from>
      <xdr:col>1</xdr:col>
      <xdr:colOff>500743</xdr:colOff>
      <xdr:row>31</xdr:row>
      <xdr:rowOff>87090</xdr:rowOff>
    </xdr:from>
    <xdr:to>
      <xdr:col>4</xdr:col>
      <xdr:colOff>195943</xdr:colOff>
      <xdr:row>33</xdr:row>
      <xdr:rowOff>87089</xdr:rowOff>
    </xdr:to>
    <xdr:sp macro="" textlink="pivot!E14">
      <xdr:nvSpPr>
        <xdr:cNvPr id="24" name="TextBox 23">
          <a:extLst>
            <a:ext uri="{FF2B5EF4-FFF2-40B4-BE49-F238E27FC236}">
              <a16:creationId xmlns:a16="http://schemas.microsoft.com/office/drawing/2014/main" id="{CCC78C39-086E-4B3B-815D-B2727BE4043E}"/>
            </a:ext>
          </a:extLst>
        </xdr:cNvPr>
        <xdr:cNvSpPr txBox="1"/>
      </xdr:nvSpPr>
      <xdr:spPr>
        <a:xfrm>
          <a:off x="1110343" y="5823861"/>
          <a:ext cx="1524000"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BA682F2-C727-44F4-A93C-676D330B3226}" type="TxLink">
            <a:rPr lang="en-US" sz="1600" b="1" i="0" u="none" strike="noStrike">
              <a:solidFill>
                <a:schemeClr val="bg1"/>
              </a:solidFill>
              <a:latin typeface="Calibri"/>
              <a:ea typeface="Calibri"/>
              <a:cs typeface="Calibri"/>
            </a:rPr>
            <a:pPr algn="l"/>
            <a:t>500</a:t>
          </a:fld>
          <a:endParaRPr lang="en-IN" sz="16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66.565254745372" createdVersion="8" refreshedVersion="8" minRefreshableVersion="3" recordCount="500" xr:uid="{77AB21C4-C08D-410D-BEE4-005ED0FE0DFE}">
  <cacheSource type="worksheet">
    <worksheetSource ref="A1:G501" sheet="Course_Data"/>
  </cacheSource>
  <cacheFields count="7">
    <cacheField name="Date" numFmtId="170">
      <sharedItems containsSemiMixedTypes="0" containsNonDate="0" containsDate="1" containsString="0" minDate="2025-01-02T00:00:00" maxDate="2026-01-02T00:00:00" count="264">
        <d v="2025-11-07T00:00:00"/>
        <d v="2025-03-10T00:00:00"/>
        <d v="2025-05-07T00:00:00"/>
        <d v="2025-04-09T00:00:00"/>
        <d v="2025-10-18T00:00:00"/>
        <d v="2025-08-20T00:00:00"/>
        <d v="2025-01-02T00:00:00"/>
        <d v="2025-05-22T00:00:00"/>
        <d v="2025-08-04T00:00:00"/>
        <d v="2025-07-12T00:00:00"/>
        <d v="2025-08-08T00:00:00"/>
        <d v="2025-07-16T00:00:00"/>
        <d v="2025-04-20T00:00:00"/>
        <d v="2025-08-01T00:00:00"/>
        <d v="2025-08-06T00:00:00"/>
        <d v="2025-02-09T00:00:00"/>
        <d v="2025-11-09T00:00:00"/>
        <d v="2025-10-15T00:00:00"/>
        <d v="2025-11-12T00:00:00"/>
        <d v="2025-11-02T00:00:00"/>
        <d v="2025-04-23T00:00:00"/>
        <d v="2025-05-10T00:00:00"/>
        <d v="2025-07-27T00:00:00"/>
        <d v="2025-05-01T00:00:00"/>
        <d v="2025-06-03T00:00:00"/>
        <d v="2025-03-02T00:00:00"/>
        <d v="2025-06-28T00:00:00"/>
        <d v="2025-04-11T00:00:00"/>
        <d v="2025-02-28T00:00:00"/>
        <d v="2025-11-30T00:00:00"/>
        <d v="2025-04-10T00:00:00"/>
        <d v="2025-07-10T00:00:00"/>
        <d v="2025-10-09T00:00:00"/>
        <d v="2025-10-14T00:00:00"/>
        <d v="2025-04-24T00:00:00"/>
        <d v="2025-03-20T00:00:00"/>
        <d v="2025-01-27T00:00:00"/>
        <d v="2025-04-06T00:00:00"/>
        <d v="2025-03-06T00:00:00"/>
        <d v="2025-08-12T00:00:00"/>
        <d v="2025-10-29T00:00:00"/>
        <d v="2025-08-05T00:00:00"/>
        <d v="2025-10-24T00:00:00"/>
        <d v="2025-06-10T00:00:00"/>
        <d v="2025-03-19T00:00:00"/>
        <d v="2025-08-22T00:00:00"/>
        <d v="2025-09-24T00:00:00"/>
        <d v="2025-03-24T00:00:00"/>
        <d v="2025-04-04T00:00:00"/>
        <d v="2025-09-28T00:00:00"/>
        <d v="2025-11-27T00:00:00"/>
        <d v="2025-08-31T00:00:00"/>
        <d v="2025-06-19T00:00:00"/>
        <d v="2025-05-09T00:00:00"/>
        <d v="2025-04-07T00:00:00"/>
        <d v="2025-09-04T00:00:00"/>
        <d v="2025-04-15T00:00:00"/>
        <d v="2025-08-29T00:00:00"/>
        <d v="2025-10-11T00:00:00"/>
        <d v="2025-03-07T00:00:00"/>
        <d v="2025-09-30T00:00:00"/>
        <d v="2025-01-29T00:00:00"/>
        <d v="2025-12-22T00:00:00"/>
        <d v="2025-03-03T00:00:00"/>
        <d v="2025-03-23T00:00:00"/>
        <d v="2025-12-27T00:00:00"/>
        <d v="2025-10-01T00:00:00"/>
        <d v="2025-06-05T00:00:00"/>
        <d v="2025-10-03T00:00:00"/>
        <d v="2025-03-04T00:00:00"/>
        <d v="2025-05-30T00:00:00"/>
        <d v="2025-10-08T00:00:00"/>
        <d v="2025-08-24T00:00:00"/>
        <d v="2025-06-09T00:00:00"/>
        <d v="2025-03-25T00:00:00"/>
        <d v="2025-11-01T00:00:00"/>
        <d v="2025-12-26T00:00:00"/>
        <d v="2025-10-16T00:00:00"/>
        <d v="2025-07-24T00:00:00"/>
        <d v="2025-08-18T00:00:00"/>
        <d v="2025-01-15T00:00:00"/>
        <d v="2025-05-14T00:00:00"/>
        <d v="2025-12-09T00:00:00"/>
        <d v="2025-11-21T00:00:00"/>
        <d v="2025-10-31T00:00:00"/>
        <d v="2025-01-08T00:00:00"/>
        <d v="2025-07-23T00:00:00"/>
        <d v="2025-08-21T00:00:00"/>
        <d v="2025-07-01T00:00:00"/>
        <d v="2025-06-04T00:00:00"/>
        <d v="2025-12-06T00:00:00"/>
        <d v="2025-08-13T00:00:00"/>
        <d v="2025-04-17T00:00:00"/>
        <d v="2025-02-02T00:00:00"/>
        <d v="2025-11-19T00:00:00"/>
        <d v="2025-11-13T00:00:00"/>
        <d v="2025-12-05T00:00:00"/>
        <d v="2025-12-13T00:00:00"/>
        <d v="2025-05-27T00:00:00"/>
        <d v="2025-02-12T00:00:00"/>
        <d v="2025-09-11T00:00:00"/>
        <d v="2025-11-24T00:00:00"/>
        <d v="2025-10-20T00:00:00"/>
        <d v="2025-02-16T00:00:00"/>
        <d v="2025-10-04T00:00:00"/>
        <d v="2025-04-30T00:00:00"/>
        <d v="2025-01-24T00:00:00"/>
        <d v="2025-04-03T00:00:00"/>
        <d v="2025-02-05T00:00:00"/>
        <d v="2025-08-11T00:00:00"/>
        <d v="2025-07-02T00:00:00"/>
        <d v="2025-03-15T00:00:00"/>
        <d v="2025-02-17T00:00:00"/>
        <d v="2025-01-12T00:00:00"/>
        <d v="2025-10-06T00:00:00"/>
        <d v="2025-05-02T00:00:00"/>
        <d v="2025-09-21T00:00:00"/>
        <d v="2025-11-29T00:00:00"/>
        <d v="2025-09-27T00:00:00"/>
        <d v="2025-04-26T00:00:00"/>
        <d v="2025-07-07T00:00:00"/>
        <d v="2025-12-15T00:00:00"/>
        <d v="2025-12-18T00:00:00"/>
        <d v="2025-06-24T00:00:00"/>
        <d v="2025-09-03T00:00:00"/>
        <d v="2025-04-16T00:00:00"/>
        <d v="2025-12-08T00:00:00"/>
        <d v="2025-03-14T00:00:00"/>
        <d v="2025-05-13T00:00:00"/>
        <d v="2025-01-06T00:00:00"/>
        <d v="2025-05-17T00:00:00"/>
        <d v="2025-05-05T00:00:00"/>
        <d v="2025-04-12T00:00:00"/>
        <d v="2025-09-02T00:00:00"/>
        <d v="2025-07-15T00:00:00"/>
        <d v="2025-12-10T00:00:00"/>
        <d v="2025-01-22T00:00:00"/>
        <d v="2025-05-16T00:00:00"/>
        <d v="2025-06-25T00:00:00"/>
        <d v="2025-05-11T00:00:00"/>
        <d v="2025-04-28T00:00:00"/>
        <d v="2025-09-19T00:00:00"/>
        <d v="2025-03-05T00:00:00"/>
        <d v="2025-10-13T00:00:00"/>
        <d v="2025-12-01T00:00:00"/>
        <d v="2025-04-22T00:00:00"/>
        <d v="2025-03-11T00:00:00"/>
        <d v="2025-04-14T00:00:00"/>
        <d v="2025-03-17T00:00:00"/>
        <d v="2025-10-19T00:00:00"/>
        <d v="2025-02-04T00:00:00"/>
        <d v="2025-11-20T00:00:00"/>
        <d v="2025-02-25T00:00:00"/>
        <d v="2025-08-09T00:00:00"/>
        <d v="2025-12-30T00:00:00"/>
        <d v="2025-02-11T00:00:00"/>
        <d v="2025-12-11T00:00:00"/>
        <d v="2025-05-08T00:00:00"/>
        <d v="2025-09-18T00:00:00"/>
        <d v="2025-08-27T00:00:00"/>
        <d v="2025-07-29T00:00:00"/>
        <d v="2025-07-19T00:00:00"/>
        <d v="2025-09-05T00:00:00"/>
        <d v="2025-06-20T00:00:00"/>
        <d v="2025-02-08T00:00:00"/>
        <d v="2025-04-19T00:00:00"/>
        <d v="2025-09-10T00:00:00"/>
        <d v="2025-07-20T00:00:00"/>
        <d v="2025-08-10T00:00:00"/>
        <d v="2025-12-17T00:00:00"/>
        <d v="2025-08-26T00:00:00"/>
        <d v="2025-12-24T00:00:00"/>
        <d v="2025-12-16T00:00:00"/>
        <d v="2025-08-23T00:00:00"/>
        <d v="2025-03-31T00:00:00"/>
        <d v="2025-02-01T00:00:00"/>
        <d v="2025-04-02T00:00:00"/>
        <d v="2025-06-16T00:00:00"/>
        <d v="2025-07-25T00:00:00"/>
        <d v="2025-06-15T00:00:00"/>
        <d v="2025-08-15T00:00:00"/>
        <d v="2025-12-03T00:00:00"/>
        <d v="2025-01-16T00:00:00"/>
        <d v="2025-12-31T00:00:00"/>
        <d v="2025-02-23T00:00:00"/>
        <d v="2025-05-18T00:00:00"/>
        <d v="2025-04-27T00:00:00"/>
        <d v="2025-05-12T00:00:00"/>
        <d v="2025-06-23T00:00:00"/>
        <d v="2025-01-20T00:00:00"/>
        <d v="2025-05-24T00:00:00"/>
        <d v="2025-07-28T00:00:00"/>
        <d v="2025-05-28T00:00:00"/>
        <d v="2025-06-12T00:00:00"/>
        <d v="2025-08-30T00:00:00"/>
        <d v="2025-01-10T00:00:00"/>
        <d v="2025-09-17T00:00:00"/>
        <d v="2025-04-13T00:00:00"/>
        <d v="2025-07-11T00:00:00"/>
        <d v="2025-09-15T00:00:00"/>
        <d v="2025-01-30T00:00:00"/>
        <d v="2025-05-31T00:00:00"/>
        <d v="2025-08-03T00:00:00"/>
        <d v="2025-11-25T00:00:00"/>
        <d v="2025-01-19T00:00:00"/>
        <d v="2025-07-06T00:00:00"/>
        <d v="2025-03-01T00:00:00"/>
        <d v="2025-02-21T00:00:00"/>
        <d v="2025-03-28T00:00:00"/>
        <d v="2025-10-17T00:00:00"/>
        <d v="2025-05-03T00:00:00"/>
        <d v="2025-06-06T00:00:00"/>
        <d v="2025-05-21T00:00:00"/>
        <d v="2025-01-31T00:00:00"/>
        <d v="2025-01-03T00:00:00"/>
        <d v="2025-12-14T00:00:00"/>
        <d v="2025-07-14T00:00:00"/>
        <d v="2026-01-01T00:00:00"/>
        <d v="2025-12-19T00:00:00"/>
        <d v="2025-07-22T00:00:00"/>
        <d v="2025-08-02T00:00:00"/>
        <d v="2025-07-04T00:00:00"/>
        <d v="2025-02-20T00:00:00"/>
        <d v="2025-03-13T00:00:00"/>
        <d v="2025-06-26T00:00:00"/>
        <d v="2025-03-18T00:00:00"/>
        <d v="2025-02-27T00:00:00"/>
        <d v="2025-10-30T00:00:00"/>
        <d v="2025-11-23T00:00:00"/>
        <d v="2025-01-23T00:00:00"/>
        <d v="2025-09-16T00:00:00"/>
        <d v="2025-02-15T00:00:00"/>
        <d v="2025-08-07T00:00:00"/>
        <d v="2025-09-12T00:00:00"/>
        <d v="2025-04-25T00:00:00"/>
        <d v="2025-03-21T00:00:00"/>
        <d v="2025-07-30T00:00:00"/>
        <d v="2025-10-21T00:00:00"/>
        <d v="2025-06-27T00:00:00"/>
        <d v="2025-05-19T00:00:00"/>
        <d v="2025-01-25T00:00:00"/>
        <d v="2025-01-14T00:00:00"/>
        <d v="2025-05-25T00:00:00"/>
        <d v="2025-03-30T00:00:00"/>
        <d v="2025-01-26T00:00:00"/>
        <d v="2025-01-11T00:00:00"/>
        <d v="2025-08-28T00:00:00"/>
        <d v="2025-04-18T00:00:00"/>
        <d v="2025-10-10T00:00:00"/>
        <d v="2025-06-17T00:00:00"/>
        <d v="2025-10-22T00:00:00"/>
        <d v="2025-12-23T00:00:00"/>
        <d v="2025-08-25T00:00:00"/>
        <d v="2025-08-16T00:00:00"/>
        <d v="2025-02-07T00:00:00"/>
        <d v="2025-02-26T00:00:00"/>
        <d v="2025-09-29T00:00:00"/>
        <d v="2025-06-01T00:00:00"/>
        <d v="2025-03-16T00:00:00"/>
        <d v="2025-09-23T00:00:00"/>
        <d v="2025-03-08T00:00:00"/>
        <d v="2025-07-05T00:00:00"/>
        <d v="2025-06-11T00:00:00"/>
        <d v="2025-11-10T00:00:00"/>
      </sharedItems>
    </cacheField>
    <cacheField name="Course Name" numFmtId="0">
      <sharedItems count="10">
        <s v="Power BI Mastery"/>
        <s v="Digital Marketing Pro"/>
        <s v="Cloud Computing Basics"/>
        <s v="Cybersecurity Essentials"/>
        <s v="AI &amp; Machine Learning"/>
        <s v="RHCSA Linux Admin"/>
        <s v="Project Management"/>
        <s v="Advanced Excel"/>
        <s v="Web Development Bootcamp"/>
        <s v="Python for Data Science"/>
      </sharedItems>
    </cacheField>
    <cacheField name="Instructor" numFmtId="0">
      <sharedItems/>
    </cacheField>
    <cacheField name="Category" numFmtId="0">
      <sharedItems/>
    </cacheField>
    <cacheField name="State" numFmtId="0">
      <sharedItems count="10">
        <s v="Madhya Pradesh"/>
        <s v="Karnataka"/>
        <s v="Delhi"/>
        <s v="Telangana"/>
        <s v="Tamil Nadu"/>
        <s v="Maharashtra"/>
        <s v="West Bengal"/>
        <s v="Uttar Pradesh"/>
        <s v="Rajasthan"/>
        <s v="Gujarat"/>
      </sharedItems>
    </cacheField>
    <cacheField name="Enrollments" numFmtId="0">
      <sharedItems containsSemiMixedTypes="0" containsString="0" containsNumber="1" containsInteger="1" minValue="10" maxValue="499"/>
    </cacheField>
    <cacheField name="Revenue INR" numFmtId="0">
      <sharedItems containsSemiMixedTypes="0" containsString="0" containsNumber="1" containsInteger="1" minValue="27016" maxValue="3917796"/>
    </cacheField>
  </cacheFields>
  <extLst>
    <ext xmlns:x14="http://schemas.microsoft.com/office/spreadsheetml/2009/9/main" uri="{725AE2AE-9491-48be-B2B4-4EB974FC3084}">
      <x14:pivotCacheDefinition pivotCacheId="10197348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66.55346516204" createdVersion="8" refreshedVersion="8" minRefreshableVersion="3" recordCount="500" xr:uid="{B5613798-AC03-4FE9-B191-63E49F9E1A46}">
  <cacheSource type="worksheet">
    <worksheetSource ref="A1:G501" sheet="Course_Data"/>
  </cacheSource>
  <cacheFields count="7">
    <cacheField name="Date" numFmtId="0">
      <sharedItems count="264">
        <s v="2025-11-07"/>
        <s v="2025-03-10"/>
        <s v="2025-05-07"/>
        <s v="2025-04-09"/>
        <s v="2025-10-18"/>
        <s v="2025-08-20"/>
        <s v="2025-01-02"/>
        <s v="2025-05-22"/>
        <s v="2025-08-04"/>
        <s v="2025-07-12"/>
        <s v="2025-08-08"/>
        <s v="2025-07-16"/>
        <s v="2025-04-20"/>
        <s v="2025-08-01"/>
        <s v="2025-08-06"/>
        <s v="2025-02-09"/>
        <s v="2025-11-09"/>
        <s v="2025-10-15"/>
        <s v="2025-11-12"/>
        <s v="2025-11-02"/>
        <s v="2025-04-23"/>
        <s v="2025-05-10"/>
        <s v="2025-07-27"/>
        <s v="2025-05-01"/>
        <s v="2025-06-03"/>
        <s v="2025-03-02"/>
        <s v="2025-06-28"/>
        <s v="2025-04-11"/>
        <s v="2025-02-28"/>
        <s v="2025-11-30"/>
        <s v="2025-04-10"/>
        <s v="2025-07-10"/>
        <s v="2025-10-09"/>
        <s v="2025-10-14"/>
        <s v="2025-04-24"/>
        <s v="2025-03-20"/>
        <s v="2025-01-27"/>
        <s v="2025-04-06"/>
        <s v="2025-03-06"/>
        <s v="2025-08-12"/>
        <s v="2025-10-29"/>
        <s v="2025-08-05"/>
        <s v="2025-10-24"/>
        <s v="2025-06-10"/>
        <s v="2025-03-19"/>
        <s v="2025-08-22"/>
        <s v="2025-09-24"/>
        <s v="2025-03-24"/>
        <s v="2025-04-04"/>
        <s v="2025-09-28"/>
        <s v="2025-11-27"/>
        <s v="2025-08-31"/>
        <s v="2025-06-19"/>
        <s v="2025-05-09"/>
        <s v="2025-04-07"/>
        <s v="2025-09-04"/>
        <s v="2025-04-15"/>
        <s v="2025-08-29"/>
        <s v="2025-10-11"/>
        <s v="2025-03-07"/>
        <s v="2025-09-30"/>
        <s v="2025-01-29"/>
        <s v="2025-12-22"/>
        <s v="2025-03-03"/>
        <s v="2025-03-23"/>
        <s v="2025-12-27"/>
        <s v="2025-10-01"/>
        <s v="2025-06-05"/>
        <s v="2025-10-03"/>
        <s v="2025-03-04"/>
        <s v="2025-05-30"/>
        <s v="2025-10-08"/>
        <s v="2025-08-24"/>
        <s v="2025-06-09"/>
        <s v="2025-03-25"/>
        <s v="2025-11-01"/>
        <s v="2025-12-26"/>
        <s v="2025-10-16"/>
        <s v="2025-07-24"/>
        <s v="2025-08-18"/>
        <s v="2025-01-15"/>
        <s v="2025-05-14"/>
        <s v="2025-12-09"/>
        <s v="2025-11-21"/>
        <s v="2025-10-31"/>
        <s v="2025-01-08"/>
        <s v="2025-07-23"/>
        <s v="2025-08-21"/>
        <s v="2025-07-01"/>
        <s v="2025-06-04"/>
        <s v="2025-12-06"/>
        <s v="2025-08-13"/>
        <s v="2025-04-17"/>
        <s v="2025-02-02"/>
        <s v="2025-11-19"/>
        <s v="2025-11-13"/>
        <s v="2025-12-05"/>
        <s v="2025-12-13"/>
        <s v="2025-05-27"/>
        <s v="2025-02-12"/>
        <s v="2025-09-11"/>
        <s v="2025-11-24"/>
        <s v="2025-10-20"/>
        <s v="2025-02-16"/>
        <s v="2025-10-04"/>
        <s v="2025-04-30"/>
        <s v="2025-01-24"/>
        <s v="2025-04-03"/>
        <s v="2025-02-05"/>
        <s v="2025-08-11"/>
        <s v="2025-07-02"/>
        <s v="2025-03-15"/>
        <s v="2025-02-17"/>
        <s v="2025-01-12"/>
        <s v="2025-10-06"/>
        <s v="2025-05-02"/>
        <s v="2025-09-21"/>
        <s v="2025-11-29"/>
        <s v="2025-09-27"/>
        <s v="2025-04-26"/>
        <s v="2025-07-07"/>
        <s v="2025-12-15"/>
        <s v="2025-12-18"/>
        <s v="2025-06-24"/>
        <s v="2025-09-03"/>
        <s v="2025-04-16"/>
        <s v="2025-12-08"/>
        <s v="2025-03-14"/>
        <s v="2025-05-13"/>
        <s v="2025-01-06"/>
        <s v="2025-05-17"/>
        <s v="2025-05-05"/>
        <s v="2025-04-12"/>
        <s v="2025-09-02"/>
        <s v="2025-07-15"/>
        <s v="2025-12-10"/>
        <s v="2025-01-22"/>
        <s v="2025-05-16"/>
        <s v="2025-06-25"/>
        <s v="2025-05-11"/>
        <s v="2025-04-28"/>
        <s v="2025-09-19"/>
        <s v="2025-03-05"/>
        <s v="2025-10-13"/>
        <s v="2025-12-01"/>
        <s v="2025-04-22"/>
        <s v="2025-03-11"/>
        <s v="2025-04-14"/>
        <s v="2025-03-17"/>
        <s v="2025-10-19"/>
        <s v="2025-02-04"/>
        <s v="2025-11-20"/>
        <s v="2025-02-25"/>
        <s v="2025-08-09"/>
        <s v="2025-12-30"/>
        <s v="2025-02-11"/>
        <s v="2025-12-11"/>
        <s v="2025-05-08"/>
        <s v="2025-09-18"/>
        <s v="2025-08-27"/>
        <s v="2025-07-29"/>
        <s v="2025-07-19"/>
        <s v="2025-09-05"/>
        <s v="2025-06-20"/>
        <s v="2025-02-08"/>
        <s v="2025-04-19"/>
        <s v="2025-09-10"/>
        <s v="2025-07-20"/>
        <s v="2025-08-10"/>
        <s v="2025-12-17"/>
        <s v="2025-08-26"/>
        <s v="2025-12-24"/>
        <s v="2025-12-16"/>
        <s v="2025-08-23"/>
        <s v="2025-03-31"/>
        <s v="2025-02-01"/>
        <s v="2025-04-02"/>
        <s v="2025-06-16"/>
        <s v="2025-07-25"/>
        <s v="2025-06-15"/>
        <s v="2025-08-15"/>
        <s v="2025-12-03"/>
        <s v="2025-01-16"/>
        <s v="2025-12-31"/>
        <s v="2025-02-23"/>
        <s v="2025-05-18"/>
        <s v="2025-04-27"/>
        <s v="2025-05-12"/>
        <s v="2025-06-23"/>
        <s v="2025-01-20"/>
        <s v="2025-05-24"/>
        <s v="2025-07-28"/>
        <s v="2025-05-28"/>
        <s v="2025-06-12"/>
        <s v="2025-08-30"/>
        <s v="2025-01-10"/>
        <s v="2025-09-17"/>
        <s v="2025-04-13"/>
        <s v="2025-07-11"/>
        <s v="2025-09-15"/>
        <s v="2025-01-30"/>
        <s v="2025-05-31"/>
        <s v="2025-08-03"/>
        <s v="2025-11-25"/>
        <s v="2025-01-19"/>
        <s v="2025-07-06"/>
        <s v="2025-03-01"/>
        <s v="2025-02-21"/>
        <s v="2025-03-28"/>
        <s v="2025-10-17"/>
        <s v="2025-05-03"/>
        <s v="2025-06-06"/>
        <s v="2025-05-21"/>
        <s v="2025-01-31"/>
        <s v="2025-01-03"/>
        <s v="2025-12-14"/>
        <s v="2025-07-14"/>
        <s v="2026-01-01"/>
        <s v="2025-12-19"/>
        <s v="2025-07-22"/>
        <s v="2025-08-02"/>
        <s v="2025-07-04"/>
        <s v="2025-02-20"/>
        <s v="2025-03-13"/>
        <s v="2025-06-26"/>
        <s v="2025-03-18"/>
        <s v="2025-02-27"/>
        <s v="2025-10-30"/>
        <s v="2025-11-23"/>
        <s v="2025-01-23"/>
        <s v="2025-09-16"/>
        <s v="2025-02-15"/>
        <s v="2025-08-07"/>
        <s v="2025-09-12"/>
        <s v="2025-04-25"/>
        <s v="2025-03-21"/>
        <s v="2025-07-30"/>
        <s v="2025-10-21"/>
        <s v="2025-06-27"/>
        <s v="2025-05-19"/>
        <s v="2025-01-25"/>
        <s v="2025-01-14"/>
        <s v="2025-05-25"/>
        <s v="2025-03-30"/>
        <s v="2025-01-26"/>
        <s v="2025-01-11"/>
        <s v="2025-08-28"/>
        <s v="2025-04-18"/>
        <s v="2025-10-10"/>
        <s v="2025-06-17"/>
        <s v="2025-10-22"/>
        <s v="2025-12-23"/>
        <s v="2025-08-25"/>
        <s v="2025-08-16"/>
        <s v="2025-02-07"/>
        <s v="2025-02-26"/>
        <s v="2025-09-29"/>
        <s v="2025-06-01"/>
        <s v="2025-03-16"/>
        <s v="2025-09-23"/>
        <s v="2025-03-08"/>
        <s v="2025-07-05"/>
        <s v="2025-06-11"/>
        <s v="2025-11-10"/>
      </sharedItems>
    </cacheField>
    <cacheField name="Course Name" numFmtId="0">
      <sharedItems count="10">
        <s v="Power BI Mastery"/>
        <s v="Digital Marketing Pro"/>
        <s v="Cloud Computing Basics"/>
        <s v="Cybersecurity Essentials"/>
        <s v="AI &amp; Machine Learning"/>
        <s v="RHCSA Linux Admin"/>
        <s v="Project Management"/>
        <s v="Advanced Excel"/>
        <s v="Web Development Bootcamp"/>
        <s v="Python for Data Science"/>
      </sharedItems>
    </cacheField>
    <cacheField name="Instructor" numFmtId="0">
      <sharedItems/>
    </cacheField>
    <cacheField name="Category" numFmtId="0">
      <sharedItems count="7">
        <s v="Security"/>
        <s v="Marketing"/>
        <s v="Management"/>
        <s v="Cloud"/>
        <s v="IT"/>
        <s v="Data Science"/>
        <s v="Development"/>
      </sharedItems>
    </cacheField>
    <cacheField name="State" numFmtId="0">
      <sharedItems count="10">
        <s v="Madhya Pradesh"/>
        <s v="Karnataka"/>
        <s v="Delhi"/>
        <s v="Telangana"/>
        <s v="Tamil Nadu"/>
        <s v="Maharashtra"/>
        <s v="West Bengal"/>
        <s v="Uttar Pradesh"/>
        <s v="Rajasthan"/>
        <s v="Gujarat"/>
      </sharedItems>
    </cacheField>
    <cacheField name="Enrollments" numFmtId="0">
      <sharedItems containsSemiMixedTypes="0" containsString="0" containsNumber="1" containsInteger="1" minValue="10" maxValue="499"/>
    </cacheField>
    <cacheField name="Revenue INR" numFmtId="0">
      <sharedItems containsSemiMixedTypes="0" containsString="0" containsNumber="1" containsInteger="1" minValue="27016" maxValue="3917796"/>
    </cacheField>
  </cacheFields>
  <extLst>
    <ext xmlns:x14="http://schemas.microsoft.com/office/spreadsheetml/2009/9/main" uri="{725AE2AE-9491-48be-B2B4-4EB974FC3084}">
      <x14:pivotCacheDefinition pivotCacheId="1083676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Vikas Singh"/>
    <s v="Security"/>
    <x v="0"/>
    <n v="307"/>
    <n v="523742"/>
  </r>
  <r>
    <x v="1"/>
    <x v="1"/>
    <s v="Sneha Kapoor"/>
    <s v="Marketing"/>
    <x v="1"/>
    <n v="236"/>
    <n v="249924"/>
  </r>
  <r>
    <x v="2"/>
    <x v="2"/>
    <s v="Priya Nair"/>
    <s v="Management"/>
    <x v="2"/>
    <n v="62"/>
    <n v="215326"/>
  </r>
  <r>
    <x v="3"/>
    <x v="3"/>
    <s v="Rahul Sharma"/>
    <s v="Cloud"/>
    <x v="0"/>
    <n v="467"/>
    <n v="3370339"/>
  </r>
  <r>
    <x v="4"/>
    <x v="1"/>
    <s v="Sneha Kapoor"/>
    <s v="Management"/>
    <x v="3"/>
    <n v="88"/>
    <n v="346544"/>
  </r>
  <r>
    <x v="5"/>
    <x v="4"/>
    <s v="Vikas Singh"/>
    <s v="Security"/>
    <x v="4"/>
    <n v="274"/>
    <n v="1713596"/>
  </r>
  <r>
    <x v="6"/>
    <x v="1"/>
    <s v="Priya Nair"/>
    <s v="Management"/>
    <x v="0"/>
    <n v="168"/>
    <n v="1137864"/>
  </r>
  <r>
    <x v="7"/>
    <x v="5"/>
    <s v="Neha Joshi"/>
    <s v="Management"/>
    <x v="5"/>
    <n v="65"/>
    <n v="420225"/>
  </r>
  <r>
    <x v="8"/>
    <x v="6"/>
    <s v="Neha Joshi"/>
    <s v="IT"/>
    <x v="4"/>
    <n v="268"/>
    <n v="2102192"/>
  </r>
  <r>
    <x v="9"/>
    <x v="7"/>
    <s v="Anjali Rao"/>
    <s v="Cloud"/>
    <x v="6"/>
    <n v="261"/>
    <n v="1669356"/>
  </r>
  <r>
    <x v="10"/>
    <x v="1"/>
    <s v="Anjali Rao"/>
    <s v="Security"/>
    <x v="5"/>
    <n v="250"/>
    <n v="872500"/>
  </r>
  <r>
    <x v="11"/>
    <x v="6"/>
    <s v="Anjali Rao"/>
    <s v="Data Science"/>
    <x v="3"/>
    <n v="413"/>
    <n v="1110144"/>
  </r>
  <r>
    <x v="12"/>
    <x v="4"/>
    <s v="Anjali Rao"/>
    <s v="IT"/>
    <x v="5"/>
    <n v="456"/>
    <n v="2041056"/>
  </r>
  <r>
    <x v="13"/>
    <x v="4"/>
    <s v="Anjali Rao"/>
    <s v="Marketing"/>
    <x v="0"/>
    <n v="361"/>
    <n v="992389"/>
  </r>
  <r>
    <x v="14"/>
    <x v="2"/>
    <s v="Rahul Sharma"/>
    <s v="Management"/>
    <x v="7"/>
    <n v="315"/>
    <n v="1207395"/>
  </r>
  <r>
    <x v="15"/>
    <x v="5"/>
    <s v="Neha Joshi"/>
    <s v="Marketing"/>
    <x v="6"/>
    <n v="55"/>
    <n v="169785"/>
  </r>
  <r>
    <x v="16"/>
    <x v="4"/>
    <s v="Amit Verma"/>
    <s v="Security"/>
    <x v="7"/>
    <n v="275"/>
    <n v="890725"/>
  </r>
  <r>
    <x v="17"/>
    <x v="0"/>
    <s v="Priya Nair"/>
    <s v="IT"/>
    <x v="7"/>
    <n v="91"/>
    <n v="550186"/>
  </r>
  <r>
    <x v="18"/>
    <x v="0"/>
    <s v="Rahul Sharma"/>
    <s v="Management"/>
    <x v="3"/>
    <n v="25"/>
    <n v="173475"/>
  </r>
  <r>
    <x v="19"/>
    <x v="2"/>
    <s v="Sneha Kapoor"/>
    <s v="Development"/>
    <x v="8"/>
    <n v="431"/>
    <n v="826658"/>
  </r>
  <r>
    <x v="20"/>
    <x v="8"/>
    <s v="Sneha Kapoor"/>
    <s v="Data Science"/>
    <x v="7"/>
    <n v="81"/>
    <n v="303264"/>
  </r>
  <r>
    <x v="21"/>
    <x v="8"/>
    <s v="Anjali Rao"/>
    <s v="Security"/>
    <x v="4"/>
    <n v="452"/>
    <n v="979484"/>
  </r>
  <r>
    <x v="22"/>
    <x v="5"/>
    <s v="Anjali Rao"/>
    <s v="Data Science"/>
    <x v="2"/>
    <n v="80"/>
    <n v="421200"/>
  </r>
  <r>
    <x v="23"/>
    <x v="0"/>
    <s v="Neha Joshi"/>
    <s v="Management"/>
    <x v="6"/>
    <n v="277"/>
    <n v="1889694"/>
  </r>
  <r>
    <x v="24"/>
    <x v="9"/>
    <s v="Rahul Sharma"/>
    <s v="Data Science"/>
    <x v="2"/>
    <n v="136"/>
    <n v="516664"/>
  </r>
  <r>
    <x v="25"/>
    <x v="7"/>
    <s v="Sneha Kapoor"/>
    <s v="Data Science"/>
    <x v="0"/>
    <n v="307"/>
    <n v="1472679"/>
  </r>
  <r>
    <x v="26"/>
    <x v="9"/>
    <s v="Priya Nair"/>
    <s v="Cloud"/>
    <x v="9"/>
    <n v="211"/>
    <n v="636798"/>
  </r>
  <r>
    <x v="27"/>
    <x v="6"/>
    <s v="Priya Nair"/>
    <s v="Management"/>
    <x v="8"/>
    <n v="19"/>
    <n v="109668"/>
  </r>
  <r>
    <x v="28"/>
    <x v="7"/>
    <s v="Amit Verma"/>
    <s v="Marketing"/>
    <x v="4"/>
    <n v="233"/>
    <n v="283328"/>
  </r>
  <r>
    <x v="29"/>
    <x v="1"/>
    <s v="Amit Verma"/>
    <s v="Management"/>
    <x v="4"/>
    <n v="130"/>
    <n v="582660"/>
  </r>
  <r>
    <x v="30"/>
    <x v="1"/>
    <s v="Neha Joshi"/>
    <s v="Security"/>
    <x v="6"/>
    <n v="115"/>
    <n v="271400"/>
  </r>
  <r>
    <x v="31"/>
    <x v="9"/>
    <s v="Neha Joshi"/>
    <s v="Marketing"/>
    <x v="2"/>
    <n v="145"/>
    <n v="258390"/>
  </r>
  <r>
    <x v="32"/>
    <x v="5"/>
    <s v="Rahul Sharma"/>
    <s v="Marketing"/>
    <x v="7"/>
    <n v="274"/>
    <n v="1859638"/>
  </r>
  <r>
    <x v="33"/>
    <x v="1"/>
    <s v="Priya Nair"/>
    <s v="Cloud"/>
    <x v="0"/>
    <n v="101"/>
    <n v="466317"/>
  </r>
  <r>
    <x v="34"/>
    <x v="8"/>
    <s v="Amit Verma"/>
    <s v="Security"/>
    <x v="4"/>
    <n v="263"/>
    <n v="1014128"/>
  </r>
  <r>
    <x v="35"/>
    <x v="9"/>
    <s v="Rahul Sharma"/>
    <s v="Cloud"/>
    <x v="0"/>
    <n v="459"/>
    <n v="2003076"/>
  </r>
  <r>
    <x v="27"/>
    <x v="9"/>
    <s v="Rahul Sharma"/>
    <s v="Cloud"/>
    <x v="5"/>
    <n v="140"/>
    <n v="1069740"/>
  </r>
  <r>
    <x v="36"/>
    <x v="9"/>
    <s v="Priya Nair"/>
    <s v="Security"/>
    <x v="0"/>
    <n v="167"/>
    <n v="1087337"/>
  </r>
  <r>
    <x v="23"/>
    <x v="0"/>
    <s v="Anjali Rao"/>
    <s v="Security"/>
    <x v="6"/>
    <n v="189"/>
    <n v="322434"/>
  </r>
  <r>
    <x v="37"/>
    <x v="0"/>
    <s v="Neha Joshi"/>
    <s v="Data Science"/>
    <x v="6"/>
    <n v="236"/>
    <n v="778564"/>
  </r>
  <r>
    <x v="38"/>
    <x v="6"/>
    <s v="Rahul Sharma"/>
    <s v="Data Science"/>
    <x v="6"/>
    <n v="316"/>
    <n v="605772"/>
  </r>
  <r>
    <x v="39"/>
    <x v="6"/>
    <s v="Neha Joshi"/>
    <s v="Data Science"/>
    <x v="4"/>
    <n v="378"/>
    <n v="1468152"/>
  </r>
  <r>
    <x v="40"/>
    <x v="8"/>
    <s v="Anjali Rao"/>
    <s v="Management"/>
    <x v="3"/>
    <n v="425"/>
    <n v="1629875"/>
  </r>
  <r>
    <x v="41"/>
    <x v="8"/>
    <s v="Amit Verma"/>
    <s v="Cloud"/>
    <x v="4"/>
    <n v="36"/>
    <n v="260424"/>
  </r>
  <r>
    <x v="11"/>
    <x v="3"/>
    <s v="Amit Verma"/>
    <s v="Cloud"/>
    <x v="7"/>
    <n v="60"/>
    <n v="433140"/>
  </r>
  <r>
    <x v="42"/>
    <x v="5"/>
    <s v="Vikas Singh"/>
    <s v="Development"/>
    <x v="9"/>
    <n v="212"/>
    <n v="834644"/>
  </r>
  <r>
    <x v="43"/>
    <x v="9"/>
    <s v="Rahul Sharma"/>
    <s v="IT"/>
    <x v="5"/>
    <n v="477"/>
    <n v="2021526"/>
  </r>
  <r>
    <x v="44"/>
    <x v="1"/>
    <s v="Sneha Kapoor"/>
    <s v="Security"/>
    <x v="9"/>
    <n v="269"/>
    <n v="1449641"/>
  </r>
  <r>
    <x v="45"/>
    <x v="4"/>
    <s v="Rahul Sharma"/>
    <s v="Data Science"/>
    <x v="3"/>
    <n v="475"/>
    <n v="1677225"/>
  </r>
  <r>
    <x v="46"/>
    <x v="0"/>
    <s v="Anjali Rao"/>
    <s v="Security"/>
    <x v="7"/>
    <n v="444"/>
    <n v="1018980"/>
  </r>
  <r>
    <x v="47"/>
    <x v="0"/>
    <s v="Karan Mehta"/>
    <s v="Marketing"/>
    <x v="6"/>
    <n v="456"/>
    <n v="2339280"/>
  </r>
  <r>
    <x v="48"/>
    <x v="7"/>
    <s v="Karan Mehta"/>
    <s v="Development"/>
    <x v="7"/>
    <n v="44"/>
    <n v="347908"/>
  </r>
  <r>
    <x v="49"/>
    <x v="5"/>
    <s v="Priya Nair"/>
    <s v="Data Science"/>
    <x v="2"/>
    <n v="181"/>
    <n v="1220664"/>
  </r>
  <r>
    <x v="50"/>
    <x v="4"/>
    <s v="Amit Verma"/>
    <s v="Management"/>
    <x v="1"/>
    <n v="451"/>
    <n v="648989"/>
  </r>
  <r>
    <x v="51"/>
    <x v="7"/>
    <s v="Karan Mehta"/>
    <s v="Security"/>
    <x v="5"/>
    <n v="14"/>
    <n v="102522"/>
  </r>
  <r>
    <x v="52"/>
    <x v="5"/>
    <s v="Anjali Rao"/>
    <s v="Management"/>
    <x v="3"/>
    <n v="205"/>
    <n v="1154765"/>
  </r>
  <r>
    <x v="53"/>
    <x v="1"/>
    <s v="Amit Verma"/>
    <s v="Marketing"/>
    <x v="1"/>
    <n v="302"/>
    <n v="2300334"/>
  </r>
  <r>
    <x v="54"/>
    <x v="7"/>
    <s v="Amit Verma"/>
    <s v="Development"/>
    <x v="5"/>
    <n v="13"/>
    <n v="56732"/>
  </r>
  <r>
    <x v="55"/>
    <x v="8"/>
    <s v="Priya Nair"/>
    <s v="Development"/>
    <x v="7"/>
    <n v="196"/>
    <n v="481964"/>
  </r>
  <r>
    <x v="56"/>
    <x v="8"/>
    <s v="Vikas Singh"/>
    <s v="Data Science"/>
    <x v="7"/>
    <n v="326"/>
    <n v="2137908"/>
  </r>
  <r>
    <x v="57"/>
    <x v="3"/>
    <s v="Priya Nair"/>
    <s v="Security"/>
    <x v="5"/>
    <n v="140"/>
    <n v="299740"/>
  </r>
  <r>
    <x v="51"/>
    <x v="2"/>
    <s v="Priya Nair"/>
    <s v="Development"/>
    <x v="7"/>
    <n v="144"/>
    <n v="288720"/>
  </r>
  <r>
    <x v="29"/>
    <x v="2"/>
    <s v="Rahul Sharma"/>
    <s v="Data Science"/>
    <x v="2"/>
    <n v="99"/>
    <n v="533610"/>
  </r>
  <r>
    <x v="58"/>
    <x v="1"/>
    <s v="Priya Nair"/>
    <s v="Security"/>
    <x v="0"/>
    <n v="263"/>
    <n v="409754"/>
  </r>
  <r>
    <x v="59"/>
    <x v="8"/>
    <s v="Neha Joshi"/>
    <s v="Security"/>
    <x v="1"/>
    <n v="160"/>
    <n v="1029280"/>
  </r>
  <r>
    <x v="60"/>
    <x v="2"/>
    <s v="Karan Mehta"/>
    <s v="Cloud"/>
    <x v="8"/>
    <n v="305"/>
    <n v="1870260"/>
  </r>
  <r>
    <x v="60"/>
    <x v="7"/>
    <s v="Karan Mehta"/>
    <s v="Data Science"/>
    <x v="7"/>
    <n v="243"/>
    <n v="560115"/>
  </r>
  <r>
    <x v="61"/>
    <x v="5"/>
    <s v="Amit Verma"/>
    <s v="Marketing"/>
    <x v="8"/>
    <n v="296"/>
    <n v="805712"/>
  </r>
  <r>
    <x v="62"/>
    <x v="8"/>
    <s v="Priya Nair"/>
    <s v="Cloud"/>
    <x v="7"/>
    <n v="211"/>
    <n v="861302"/>
  </r>
  <r>
    <x v="5"/>
    <x v="1"/>
    <s v="Anjali Rao"/>
    <s v="Development"/>
    <x v="5"/>
    <n v="254"/>
    <n v="1672082"/>
  </r>
  <r>
    <x v="63"/>
    <x v="9"/>
    <s v="Karan Mehta"/>
    <s v="Management"/>
    <x v="1"/>
    <n v="346"/>
    <n v="2716792"/>
  </r>
  <r>
    <x v="64"/>
    <x v="0"/>
    <s v="Vikas Singh"/>
    <s v="Cloud"/>
    <x v="6"/>
    <n v="12"/>
    <n v="49824"/>
  </r>
  <r>
    <x v="15"/>
    <x v="0"/>
    <s v="Sneha Kapoor"/>
    <s v="Marketing"/>
    <x v="9"/>
    <n v="52"/>
    <n v="332488"/>
  </r>
  <r>
    <x v="60"/>
    <x v="8"/>
    <s v="Rahul Sharma"/>
    <s v="Management"/>
    <x v="0"/>
    <n v="225"/>
    <n v="917100"/>
  </r>
  <r>
    <x v="9"/>
    <x v="6"/>
    <s v="Karan Mehta"/>
    <s v="Management"/>
    <x v="9"/>
    <n v="266"/>
    <n v="900676"/>
  </r>
  <r>
    <x v="65"/>
    <x v="9"/>
    <s v="Anjali Rao"/>
    <s v="Cloud"/>
    <x v="3"/>
    <n v="123"/>
    <n v="310575"/>
  </r>
  <r>
    <x v="66"/>
    <x v="8"/>
    <s v="Karan Mehta"/>
    <s v="Marketing"/>
    <x v="5"/>
    <n v="191"/>
    <n v="328711"/>
  </r>
  <r>
    <x v="67"/>
    <x v="3"/>
    <s v="Neha Joshi"/>
    <s v="Marketing"/>
    <x v="9"/>
    <n v="408"/>
    <n v="1326408"/>
  </r>
  <r>
    <x v="68"/>
    <x v="9"/>
    <s v="Priya Nair"/>
    <s v="Marketing"/>
    <x v="4"/>
    <n v="292"/>
    <n v="815264"/>
  </r>
  <r>
    <x v="52"/>
    <x v="4"/>
    <s v="Vikas Singh"/>
    <s v="Cloud"/>
    <x v="7"/>
    <n v="280"/>
    <n v="1238440"/>
  </r>
  <r>
    <x v="69"/>
    <x v="2"/>
    <s v="Rahul Sharma"/>
    <s v="Security"/>
    <x v="2"/>
    <n v="60"/>
    <n v="407940"/>
  </r>
  <r>
    <x v="12"/>
    <x v="6"/>
    <s v="Rahul Sharma"/>
    <s v="Development"/>
    <x v="3"/>
    <n v="313"/>
    <n v="1708667"/>
  </r>
  <r>
    <x v="41"/>
    <x v="7"/>
    <s v="Karan Mehta"/>
    <s v="Marketing"/>
    <x v="3"/>
    <n v="172"/>
    <n v="1276412"/>
  </r>
  <r>
    <x v="70"/>
    <x v="6"/>
    <s v="Neha Joshi"/>
    <s v="Cloud"/>
    <x v="4"/>
    <n v="88"/>
    <n v="114048"/>
  </r>
  <r>
    <x v="71"/>
    <x v="6"/>
    <s v="Priya Nair"/>
    <s v="Data Science"/>
    <x v="4"/>
    <n v="292"/>
    <n v="2144448"/>
  </r>
  <r>
    <x v="72"/>
    <x v="8"/>
    <s v="Amit Verma"/>
    <s v="Development"/>
    <x v="8"/>
    <n v="159"/>
    <n v="717408"/>
  </r>
  <r>
    <x v="73"/>
    <x v="8"/>
    <s v="Vikas Singh"/>
    <s v="Cloud"/>
    <x v="2"/>
    <n v="22"/>
    <n v="101552"/>
  </r>
  <r>
    <x v="74"/>
    <x v="4"/>
    <s v="Neha Joshi"/>
    <s v="Cloud"/>
    <x v="7"/>
    <n v="440"/>
    <n v="3002560"/>
  </r>
  <r>
    <x v="75"/>
    <x v="9"/>
    <s v="Priya Nair"/>
    <s v="Management"/>
    <x v="6"/>
    <n v="332"/>
    <n v="1086636"/>
  </r>
  <r>
    <x v="76"/>
    <x v="4"/>
    <s v="Vikas Singh"/>
    <s v="IT"/>
    <x v="5"/>
    <n v="149"/>
    <n v="176714"/>
  </r>
  <r>
    <x v="77"/>
    <x v="0"/>
    <s v="Neha Joshi"/>
    <s v="Marketing"/>
    <x v="6"/>
    <n v="93"/>
    <n v="364839"/>
  </r>
  <r>
    <x v="62"/>
    <x v="1"/>
    <s v="Sneha Kapoor"/>
    <s v="Marketing"/>
    <x v="8"/>
    <n v="323"/>
    <n v="2351763"/>
  </r>
  <r>
    <x v="78"/>
    <x v="4"/>
    <s v="Sneha Kapoor"/>
    <s v="Management"/>
    <x v="7"/>
    <n v="170"/>
    <n v="1188300"/>
  </r>
  <r>
    <x v="79"/>
    <x v="2"/>
    <s v="Karan Mehta"/>
    <s v="Marketing"/>
    <x v="1"/>
    <n v="483"/>
    <n v="2887857"/>
  </r>
  <r>
    <x v="80"/>
    <x v="9"/>
    <s v="Amit Verma"/>
    <s v="Marketing"/>
    <x v="9"/>
    <n v="438"/>
    <n v="2697642"/>
  </r>
  <r>
    <x v="81"/>
    <x v="9"/>
    <s v="Karan Mehta"/>
    <s v="Data Science"/>
    <x v="7"/>
    <n v="472"/>
    <n v="3571624"/>
  </r>
  <r>
    <x v="82"/>
    <x v="5"/>
    <s v="Karan Mehta"/>
    <s v="Management"/>
    <x v="4"/>
    <n v="430"/>
    <n v="2591180"/>
  </r>
  <r>
    <x v="83"/>
    <x v="4"/>
    <s v="Vikas Singh"/>
    <s v="Security"/>
    <x v="4"/>
    <n v="342"/>
    <n v="2546874"/>
  </r>
  <r>
    <x v="84"/>
    <x v="9"/>
    <s v="Rahul Sharma"/>
    <s v="Marketing"/>
    <x v="4"/>
    <n v="390"/>
    <n v="2200380"/>
  </r>
  <r>
    <x v="85"/>
    <x v="4"/>
    <s v="Vikas Singh"/>
    <s v="Security"/>
    <x v="7"/>
    <n v="375"/>
    <n v="886125"/>
  </r>
  <r>
    <x v="86"/>
    <x v="9"/>
    <s v="Vikas Singh"/>
    <s v="Security"/>
    <x v="0"/>
    <n v="373"/>
    <n v="1179426"/>
  </r>
  <r>
    <x v="87"/>
    <x v="2"/>
    <s v="Sneha Kapoor"/>
    <s v="Development"/>
    <x v="0"/>
    <n v="402"/>
    <n v="949122"/>
  </r>
  <r>
    <x v="88"/>
    <x v="9"/>
    <s v="Amit Verma"/>
    <s v="Security"/>
    <x v="1"/>
    <n v="40"/>
    <n v="284600"/>
  </r>
  <r>
    <x v="10"/>
    <x v="7"/>
    <s v="Karan Mehta"/>
    <s v="Marketing"/>
    <x v="2"/>
    <n v="28"/>
    <n v="198744"/>
  </r>
  <r>
    <x v="30"/>
    <x v="8"/>
    <s v="Amit Verma"/>
    <s v="Development"/>
    <x v="7"/>
    <n v="103"/>
    <n v="688555"/>
  </r>
  <r>
    <x v="89"/>
    <x v="1"/>
    <s v="Vikas Singh"/>
    <s v="Security"/>
    <x v="0"/>
    <n v="85"/>
    <n v="192440"/>
  </r>
  <r>
    <x v="69"/>
    <x v="4"/>
    <s v="Rahul Sharma"/>
    <s v="Development"/>
    <x v="5"/>
    <n v="128"/>
    <n v="266624"/>
  </r>
  <r>
    <x v="90"/>
    <x v="5"/>
    <s v="Rahul Sharma"/>
    <s v="IT"/>
    <x v="4"/>
    <n v="196"/>
    <n v="749308"/>
  </r>
  <r>
    <x v="91"/>
    <x v="3"/>
    <s v="Priya Nair"/>
    <s v="Development"/>
    <x v="3"/>
    <n v="143"/>
    <n v="405977"/>
  </r>
  <r>
    <x v="92"/>
    <x v="6"/>
    <s v="Vikas Singh"/>
    <s v="Security"/>
    <x v="4"/>
    <n v="429"/>
    <n v="688116"/>
  </r>
  <r>
    <x v="93"/>
    <x v="0"/>
    <s v="Anjali Rao"/>
    <s v="Data Science"/>
    <x v="4"/>
    <n v="314"/>
    <n v="1748666"/>
  </r>
  <r>
    <x v="94"/>
    <x v="6"/>
    <s v="Karan Mehta"/>
    <s v="Cloud"/>
    <x v="3"/>
    <n v="498"/>
    <n v="2705136"/>
  </r>
  <r>
    <x v="95"/>
    <x v="5"/>
    <s v="Anjali Rao"/>
    <s v="Cloud"/>
    <x v="9"/>
    <n v="303"/>
    <n v="1492578"/>
  </r>
  <r>
    <x v="96"/>
    <x v="3"/>
    <s v="Amit Verma"/>
    <s v="Cloud"/>
    <x v="3"/>
    <n v="119"/>
    <n v="555016"/>
  </r>
  <r>
    <x v="97"/>
    <x v="6"/>
    <s v="Vikas Singh"/>
    <s v="IT"/>
    <x v="7"/>
    <n v="27"/>
    <n v="135243"/>
  </r>
  <r>
    <x v="98"/>
    <x v="5"/>
    <s v="Neha Joshi"/>
    <s v="Marketing"/>
    <x v="5"/>
    <n v="210"/>
    <n v="1454880"/>
  </r>
  <r>
    <x v="99"/>
    <x v="4"/>
    <s v="Sneha Kapoor"/>
    <s v="Marketing"/>
    <x v="4"/>
    <n v="133"/>
    <n v="1037134"/>
  </r>
  <r>
    <x v="100"/>
    <x v="2"/>
    <s v="Priya Nair"/>
    <s v="Security"/>
    <x v="8"/>
    <n v="17"/>
    <n v="103428"/>
  </r>
  <r>
    <x v="101"/>
    <x v="0"/>
    <s v="Priya Nair"/>
    <s v="Security"/>
    <x v="0"/>
    <n v="114"/>
    <n v="125400"/>
  </r>
  <r>
    <x v="102"/>
    <x v="8"/>
    <s v="Rahul Sharma"/>
    <s v="Development"/>
    <x v="2"/>
    <n v="145"/>
    <n v="918430"/>
  </r>
  <r>
    <x v="103"/>
    <x v="8"/>
    <s v="Rahul Sharma"/>
    <s v="Development"/>
    <x v="6"/>
    <n v="476"/>
    <n v="3737552"/>
  </r>
  <r>
    <x v="104"/>
    <x v="7"/>
    <s v="Sneha Kapoor"/>
    <s v="Cloud"/>
    <x v="7"/>
    <n v="274"/>
    <n v="1907040"/>
  </r>
  <r>
    <x v="105"/>
    <x v="6"/>
    <s v="Rahul Sharma"/>
    <s v="Security"/>
    <x v="5"/>
    <n v="229"/>
    <n v="1479798"/>
  </r>
  <r>
    <x v="106"/>
    <x v="1"/>
    <s v="Rahul Sharma"/>
    <s v="Cloud"/>
    <x v="5"/>
    <n v="11"/>
    <n v="27016"/>
  </r>
  <r>
    <x v="107"/>
    <x v="5"/>
    <s v="Amit Verma"/>
    <s v="Management"/>
    <x v="1"/>
    <n v="170"/>
    <n v="406640"/>
  </r>
  <r>
    <x v="108"/>
    <x v="7"/>
    <s v="Rahul Sharma"/>
    <s v="Management"/>
    <x v="2"/>
    <n v="469"/>
    <n v="1992312"/>
  </r>
  <r>
    <x v="109"/>
    <x v="3"/>
    <s v="Neha Joshi"/>
    <s v="Marketing"/>
    <x v="9"/>
    <n v="394"/>
    <n v="3074382"/>
  </r>
  <r>
    <x v="110"/>
    <x v="9"/>
    <s v="Sneha Kapoor"/>
    <s v="Marketing"/>
    <x v="0"/>
    <n v="113"/>
    <n v="721166"/>
  </r>
  <r>
    <x v="111"/>
    <x v="3"/>
    <s v="Rahul Sharma"/>
    <s v="Development"/>
    <x v="8"/>
    <n v="190"/>
    <n v="576650"/>
  </r>
  <r>
    <x v="41"/>
    <x v="9"/>
    <s v="Karan Mehta"/>
    <s v="Management"/>
    <x v="0"/>
    <n v="419"/>
    <n v="1786616"/>
  </r>
  <r>
    <x v="112"/>
    <x v="6"/>
    <s v="Amit Verma"/>
    <s v="Marketing"/>
    <x v="3"/>
    <n v="20"/>
    <n v="94600"/>
  </r>
  <r>
    <x v="84"/>
    <x v="7"/>
    <s v="Sneha Kapoor"/>
    <s v="Marketing"/>
    <x v="4"/>
    <n v="97"/>
    <n v="142202"/>
  </r>
  <r>
    <x v="113"/>
    <x v="0"/>
    <s v="Rahul Sharma"/>
    <s v="Data Science"/>
    <x v="5"/>
    <n v="129"/>
    <n v="416283"/>
  </r>
  <r>
    <x v="114"/>
    <x v="0"/>
    <s v="Amit Verma"/>
    <s v="Marketing"/>
    <x v="3"/>
    <n v="424"/>
    <n v="2929840"/>
  </r>
  <r>
    <x v="23"/>
    <x v="2"/>
    <s v="Karan Mehta"/>
    <s v="IT"/>
    <x v="3"/>
    <n v="345"/>
    <n v="2181090"/>
  </r>
  <r>
    <x v="115"/>
    <x v="2"/>
    <s v="Sneha Kapoor"/>
    <s v="Marketing"/>
    <x v="3"/>
    <n v="473"/>
    <n v="1165472"/>
  </r>
  <r>
    <x v="20"/>
    <x v="9"/>
    <s v="Vikas Singh"/>
    <s v="Management"/>
    <x v="6"/>
    <n v="409"/>
    <n v="2865454"/>
  </r>
  <r>
    <x v="68"/>
    <x v="7"/>
    <s v="Anjali Rao"/>
    <s v="IT"/>
    <x v="1"/>
    <n v="355"/>
    <n v="2745925"/>
  </r>
  <r>
    <x v="116"/>
    <x v="1"/>
    <s v="Karan Mehta"/>
    <s v="Development"/>
    <x v="5"/>
    <n v="165"/>
    <n v="1100880"/>
  </r>
  <r>
    <x v="117"/>
    <x v="9"/>
    <s v="Anjali Rao"/>
    <s v="Management"/>
    <x v="9"/>
    <n v="209"/>
    <n v="1640441"/>
  </r>
  <r>
    <x v="118"/>
    <x v="5"/>
    <s v="Priya Nair"/>
    <s v="Marketing"/>
    <x v="8"/>
    <n v="347"/>
    <n v="1414025"/>
  </r>
  <r>
    <x v="66"/>
    <x v="3"/>
    <s v="Vikas Singh"/>
    <s v="Data Science"/>
    <x v="2"/>
    <n v="258"/>
    <n v="1952544"/>
  </r>
  <r>
    <x v="97"/>
    <x v="8"/>
    <s v="Vikas Singh"/>
    <s v="Development"/>
    <x v="9"/>
    <n v="406"/>
    <n v="785610"/>
  </r>
  <r>
    <x v="102"/>
    <x v="1"/>
    <s v="Sneha Kapoor"/>
    <s v="Management"/>
    <x v="5"/>
    <n v="11"/>
    <n v="62282"/>
  </r>
  <r>
    <x v="119"/>
    <x v="9"/>
    <s v="Anjali Rao"/>
    <s v="Management"/>
    <x v="5"/>
    <n v="206"/>
    <n v="1276582"/>
  </r>
  <r>
    <x v="59"/>
    <x v="6"/>
    <s v="Anjali Rao"/>
    <s v="Marketing"/>
    <x v="9"/>
    <n v="438"/>
    <n v="3143964"/>
  </r>
  <r>
    <x v="102"/>
    <x v="7"/>
    <s v="Rahul Sharma"/>
    <s v="IT"/>
    <x v="6"/>
    <n v="405"/>
    <n v="2435670"/>
  </r>
  <r>
    <x v="7"/>
    <x v="6"/>
    <s v="Amit Verma"/>
    <s v="IT"/>
    <x v="6"/>
    <n v="181"/>
    <n v="1349898"/>
  </r>
  <r>
    <x v="120"/>
    <x v="9"/>
    <s v="Karan Mehta"/>
    <s v="Management"/>
    <x v="9"/>
    <n v="108"/>
    <n v="414504"/>
  </r>
  <r>
    <x v="121"/>
    <x v="7"/>
    <s v="Amit Verma"/>
    <s v="Marketing"/>
    <x v="0"/>
    <n v="380"/>
    <n v="1441720"/>
  </r>
  <r>
    <x v="122"/>
    <x v="5"/>
    <s v="Karan Mehta"/>
    <s v="Security"/>
    <x v="7"/>
    <n v="212"/>
    <n v="1447748"/>
  </r>
  <r>
    <x v="110"/>
    <x v="8"/>
    <s v="Priya Nair"/>
    <s v="Security"/>
    <x v="0"/>
    <n v="325"/>
    <n v="2514850"/>
  </r>
  <r>
    <x v="100"/>
    <x v="9"/>
    <s v="Priya Nair"/>
    <s v="Cloud"/>
    <x v="0"/>
    <n v="437"/>
    <n v="583832"/>
  </r>
  <r>
    <x v="37"/>
    <x v="3"/>
    <s v="Vikas Singh"/>
    <s v="IT"/>
    <x v="5"/>
    <n v="481"/>
    <n v="761904"/>
  </r>
  <r>
    <x v="123"/>
    <x v="1"/>
    <s v="Rahul Sharma"/>
    <s v="Cloud"/>
    <x v="8"/>
    <n v="45"/>
    <n v="325935"/>
  </r>
  <r>
    <x v="124"/>
    <x v="7"/>
    <s v="Rahul Sharma"/>
    <s v="Data Science"/>
    <x v="6"/>
    <n v="133"/>
    <n v="898415"/>
  </r>
  <r>
    <x v="125"/>
    <x v="4"/>
    <s v="Priya Nair"/>
    <s v="Data Science"/>
    <x v="7"/>
    <n v="124"/>
    <n v="153264"/>
  </r>
  <r>
    <x v="85"/>
    <x v="3"/>
    <s v="Priya Nair"/>
    <s v="IT"/>
    <x v="6"/>
    <n v="172"/>
    <n v="592712"/>
  </r>
  <r>
    <x v="126"/>
    <x v="6"/>
    <s v="Priya Nair"/>
    <s v="Security"/>
    <x v="4"/>
    <n v="210"/>
    <n v="417690"/>
  </r>
  <r>
    <x v="15"/>
    <x v="8"/>
    <s v="Priya Nair"/>
    <s v="Development"/>
    <x v="6"/>
    <n v="296"/>
    <n v="2210232"/>
  </r>
  <r>
    <x v="127"/>
    <x v="4"/>
    <s v="Priya Nair"/>
    <s v="Development"/>
    <x v="9"/>
    <n v="296"/>
    <n v="1730712"/>
  </r>
  <r>
    <x v="128"/>
    <x v="4"/>
    <s v="Neha Joshi"/>
    <s v="Marketing"/>
    <x v="8"/>
    <n v="411"/>
    <n v="2948514"/>
  </r>
  <r>
    <x v="62"/>
    <x v="6"/>
    <s v="Priya Nair"/>
    <s v="Cloud"/>
    <x v="3"/>
    <n v="191"/>
    <n v="758270"/>
  </r>
  <r>
    <x v="59"/>
    <x v="3"/>
    <s v="Anjali Rao"/>
    <s v="Security"/>
    <x v="2"/>
    <n v="76"/>
    <n v="506084"/>
  </r>
  <r>
    <x v="129"/>
    <x v="2"/>
    <s v="Amit Verma"/>
    <s v="Cloud"/>
    <x v="0"/>
    <n v="174"/>
    <n v="477456"/>
  </r>
  <r>
    <x v="27"/>
    <x v="1"/>
    <s v="Vikas Singh"/>
    <s v="IT"/>
    <x v="5"/>
    <n v="37"/>
    <n v="268953"/>
  </r>
  <r>
    <x v="130"/>
    <x v="4"/>
    <s v="Karan Mehta"/>
    <s v="Management"/>
    <x v="8"/>
    <n v="385"/>
    <n v="2825900"/>
  </r>
  <r>
    <x v="131"/>
    <x v="5"/>
    <s v="Amit Verma"/>
    <s v="Data Science"/>
    <x v="0"/>
    <n v="195"/>
    <n v="601770"/>
  </r>
  <r>
    <x v="56"/>
    <x v="6"/>
    <s v="Anjali Rao"/>
    <s v="Cloud"/>
    <x v="6"/>
    <n v="73"/>
    <n v="462455"/>
  </r>
  <r>
    <x v="132"/>
    <x v="0"/>
    <s v="Amit Verma"/>
    <s v="IT"/>
    <x v="9"/>
    <n v="102"/>
    <n v="671670"/>
  </r>
  <r>
    <x v="133"/>
    <x v="3"/>
    <s v="Priya Nair"/>
    <s v="IT"/>
    <x v="2"/>
    <n v="471"/>
    <n v="1778025"/>
  </r>
  <r>
    <x v="134"/>
    <x v="0"/>
    <s v="Anjali Rao"/>
    <s v="IT"/>
    <x v="8"/>
    <n v="412"/>
    <n v="3140676"/>
  </r>
  <r>
    <x v="135"/>
    <x v="7"/>
    <s v="Anjali Rao"/>
    <s v="Management"/>
    <x v="0"/>
    <n v="100"/>
    <n v="169000"/>
  </r>
  <r>
    <x v="136"/>
    <x v="6"/>
    <s v="Neha Joshi"/>
    <s v="Development"/>
    <x v="1"/>
    <n v="135"/>
    <n v="601965"/>
  </r>
  <r>
    <x v="137"/>
    <x v="6"/>
    <s v="Rahul Sharma"/>
    <s v="Development"/>
    <x v="3"/>
    <n v="484"/>
    <n v="1843072"/>
  </r>
  <r>
    <x v="73"/>
    <x v="9"/>
    <s v="Rahul Sharma"/>
    <s v="Cloud"/>
    <x v="1"/>
    <n v="481"/>
    <n v="972101"/>
  </r>
  <r>
    <x v="16"/>
    <x v="8"/>
    <s v="Neha Joshi"/>
    <s v="Management"/>
    <x v="5"/>
    <n v="218"/>
    <n v="1377324"/>
  </r>
  <r>
    <x v="138"/>
    <x v="8"/>
    <s v="Sneha Kapoor"/>
    <s v="Data Science"/>
    <x v="6"/>
    <n v="98"/>
    <n v="652778"/>
  </r>
  <r>
    <x v="98"/>
    <x v="7"/>
    <s v="Neha Joshi"/>
    <s v="Security"/>
    <x v="9"/>
    <n v="159"/>
    <n v="1231932"/>
  </r>
  <r>
    <x v="139"/>
    <x v="5"/>
    <s v="Priya Nair"/>
    <s v="Management"/>
    <x v="3"/>
    <n v="315"/>
    <n v="1947330"/>
  </r>
  <r>
    <x v="140"/>
    <x v="6"/>
    <s v="Amit Verma"/>
    <s v="Security"/>
    <x v="1"/>
    <n v="245"/>
    <n v="1732885"/>
  </r>
  <r>
    <x v="18"/>
    <x v="4"/>
    <s v="Priya Nair"/>
    <s v="Management"/>
    <x v="7"/>
    <n v="278"/>
    <n v="1575426"/>
  </r>
  <r>
    <x v="58"/>
    <x v="3"/>
    <s v="Vikas Singh"/>
    <s v="Cloud"/>
    <x v="4"/>
    <n v="187"/>
    <n v="328185"/>
  </r>
  <r>
    <x v="1"/>
    <x v="7"/>
    <s v="Karan Mehta"/>
    <s v="IT"/>
    <x v="6"/>
    <n v="390"/>
    <n v="1946880"/>
  </r>
  <r>
    <x v="141"/>
    <x v="0"/>
    <s v="Sneha Kapoor"/>
    <s v="Security"/>
    <x v="5"/>
    <n v="150"/>
    <n v="523200"/>
  </r>
  <r>
    <x v="79"/>
    <x v="6"/>
    <s v="Rahul Sharma"/>
    <s v="Security"/>
    <x v="9"/>
    <n v="225"/>
    <n v="912150"/>
  </r>
  <r>
    <x v="72"/>
    <x v="6"/>
    <s v="Vikas Singh"/>
    <s v="Cloud"/>
    <x v="5"/>
    <n v="268"/>
    <n v="2061992"/>
  </r>
  <r>
    <x v="142"/>
    <x v="8"/>
    <s v="Anjali Rao"/>
    <s v="Security"/>
    <x v="4"/>
    <n v="414"/>
    <n v="3025098"/>
  </r>
  <r>
    <x v="143"/>
    <x v="7"/>
    <s v="Rahul Sharma"/>
    <s v="Management"/>
    <x v="5"/>
    <n v="412"/>
    <n v="2394132"/>
  </r>
  <r>
    <x v="36"/>
    <x v="0"/>
    <s v="Vikas Singh"/>
    <s v="IT"/>
    <x v="3"/>
    <n v="181"/>
    <n v="474039"/>
  </r>
  <r>
    <x v="18"/>
    <x v="8"/>
    <s v="Amit Verma"/>
    <s v="Security"/>
    <x v="2"/>
    <n v="258"/>
    <n v="1965702"/>
  </r>
  <r>
    <x v="144"/>
    <x v="4"/>
    <s v="Sneha Kapoor"/>
    <s v="Marketing"/>
    <x v="9"/>
    <n v="59"/>
    <n v="96170"/>
  </r>
  <r>
    <x v="145"/>
    <x v="8"/>
    <s v="Anjali Rao"/>
    <s v="Management"/>
    <x v="6"/>
    <n v="76"/>
    <n v="357428"/>
  </r>
  <r>
    <x v="82"/>
    <x v="6"/>
    <s v="Karan Mehta"/>
    <s v="Cloud"/>
    <x v="9"/>
    <n v="193"/>
    <n v="1123067"/>
  </r>
  <r>
    <x v="40"/>
    <x v="7"/>
    <s v="Neha Joshi"/>
    <s v="Marketing"/>
    <x v="0"/>
    <n v="220"/>
    <n v="1069200"/>
  </r>
  <r>
    <x v="146"/>
    <x v="7"/>
    <s v="Vikas Singh"/>
    <s v="IT"/>
    <x v="1"/>
    <n v="76"/>
    <n v="478876"/>
  </r>
  <r>
    <x v="147"/>
    <x v="6"/>
    <s v="Neha Joshi"/>
    <s v="Security"/>
    <x v="1"/>
    <n v="315"/>
    <n v="2208780"/>
  </r>
  <r>
    <x v="148"/>
    <x v="8"/>
    <s v="Priya Nair"/>
    <s v="Development"/>
    <x v="2"/>
    <n v="418"/>
    <n v="1868042"/>
  </r>
  <r>
    <x v="149"/>
    <x v="9"/>
    <s v="Amit Verma"/>
    <s v="Development"/>
    <x v="0"/>
    <n v="309"/>
    <n v="2320590"/>
  </r>
  <r>
    <x v="83"/>
    <x v="4"/>
    <s v="Neha Joshi"/>
    <s v="Data Science"/>
    <x v="4"/>
    <n v="206"/>
    <n v="1521104"/>
  </r>
  <r>
    <x v="141"/>
    <x v="1"/>
    <s v="Priya Nair"/>
    <s v="Security"/>
    <x v="3"/>
    <n v="145"/>
    <n v="628720"/>
  </r>
  <r>
    <x v="85"/>
    <x v="7"/>
    <s v="Rahul Sharma"/>
    <s v="Marketing"/>
    <x v="7"/>
    <n v="411"/>
    <n v="1161075"/>
  </r>
  <r>
    <x v="34"/>
    <x v="7"/>
    <s v="Amit Verma"/>
    <s v="Marketing"/>
    <x v="0"/>
    <n v="432"/>
    <n v="2845152"/>
  </r>
  <r>
    <x v="150"/>
    <x v="6"/>
    <s v="Rahul Sharma"/>
    <s v="Data Science"/>
    <x v="3"/>
    <n v="51"/>
    <n v="77418"/>
  </r>
  <r>
    <x v="151"/>
    <x v="8"/>
    <s v="Karan Mehta"/>
    <s v="Security"/>
    <x v="1"/>
    <n v="20"/>
    <n v="48440"/>
  </r>
  <r>
    <x v="95"/>
    <x v="1"/>
    <s v="Anjali Rao"/>
    <s v="Data Science"/>
    <x v="5"/>
    <n v="86"/>
    <n v="408242"/>
  </r>
  <r>
    <x v="101"/>
    <x v="9"/>
    <s v="Anjali Rao"/>
    <s v="Marketing"/>
    <x v="4"/>
    <n v="426"/>
    <n v="1347864"/>
  </r>
  <r>
    <x v="152"/>
    <x v="4"/>
    <s v="Neha Joshi"/>
    <s v="IT"/>
    <x v="3"/>
    <n v="353"/>
    <n v="2104939"/>
  </r>
  <r>
    <x v="50"/>
    <x v="1"/>
    <s v="Rahul Sharma"/>
    <s v="Cloud"/>
    <x v="7"/>
    <n v="197"/>
    <n v="1087243"/>
  </r>
  <r>
    <x v="153"/>
    <x v="5"/>
    <s v="Neha Joshi"/>
    <s v="IT"/>
    <x v="4"/>
    <n v="66"/>
    <n v="295020"/>
  </r>
  <r>
    <x v="137"/>
    <x v="2"/>
    <s v="Sneha Kapoor"/>
    <s v="Development"/>
    <x v="4"/>
    <n v="282"/>
    <n v="930600"/>
  </r>
  <r>
    <x v="154"/>
    <x v="9"/>
    <s v="Sneha Kapoor"/>
    <s v="Development"/>
    <x v="4"/>
    <n v="49"/>
    <n v="386904"/>
  </r>
  <r>
    <x v="155"/>
    <x v="6"/>
    <s v="Neha Joshi"/>
    <s v="Data Science"/>
    <x v="3"/>
    <n v="358"/>
    <n v="872804"/>
  </r>
  <r>
    <x v="121"/>
    <x v="8"/>
    <s v="Karan Mehta"/>
    <s v="Development"/>
    <x v="2"/>
    <n v="493"/>
    <n v="3890756"/>
  </r>
  <r>
    <x v="37"/>
    <x v="7"/>
    <s v="Priya Nair"/>
    <s v="Marketing"/>
    <x v="9"/>
    <n v="160"/>
    <n v="1056640"/>
  </r>
  <r>
    <x v="156"/>
    <x v="7"/>
    <s v="Rahul Sharma"/>
    <s v="Management"/>
    <x v="5"/>
    <n v="218"/>
    <n v="1733754"/>
  </r>
  <r>
    <x v="157"/>
    <x v="6"/>
    <s v="Priya Nair"/>
    <s v="Cloud"/>
    <x v="1"/>
    <n v="469"/>
    <n v="3603327"/>
  </r>
  <r>
    <x v="158"/>
    <x v="8"/>
    <s v="Neha Joshi"/>
    <s v="Security"/>
    <x v="3"/>
    <n v="261"/>
    <n v="1047915"/>
  </r>
  <r>
    <x v="159"/>
    <x v="6"/>
    <s v="Neha Joshi"/>
    <s v="Development"/>
    <x v="2"/>
    <n v="238"/>
    <n v="887502"/>
  </r>
  <r>
    <x v="160"/>
    <x v="4"/>
    <s v="Amit Verma"/>
    <s v="Security"/>
    <x v="0"/>
    <n v="353"/>
    <n v="1396468"/>
  </r>
  <r>
    <x v="33"/>
    <x v="4"/>
    <s v="Vikas Singh"/>
    <s v="Management"/>
    <x v="0"/>
    <n v="293"/>
    <n v="633173"/>
  </r>
  <r>
    <x v="161"/>
    <x v="8"/>
    <s v="Rahul Sharma"/>
    <s v="Data Science"/>
    <x v="4"/>
    <n v="480"/>
    <n v="2831040"/>
  </r>
  <r>
    <x v="162"/>
    <x v="6"/>
    <s v="Sneha Kapoor"/>
    <s v="IT"/>
    <x v="8"/>
    <n v="172"/>
    <n v="174236"/>
  </r>
  <r>
    <x v="158"/>
    <x v="7"/>
    <s v="Sneha Kapoor"/>
    <s v="Marketing"/>
    <x v="3"/>
    <n v="157"/>
    <n v="313529"/>
  </r>
  <r>
    <x v="39"/>
    <x v="9"/>
    <s v="Sneha Kapoor"/>
    <s v="Security"/>
    <x v="3"/>
    <n v="290"/>
    <n v="1056180"/>
  </r>
  <r>
    <x v="163"/>
    <x v="6"/>
    <s v="Karan Mehta"/>
    <s v="IT"/>
    <x v="7"/>
    <n v="348"/>
    <n v="1757748"/>
  </r>
  <r>
    <x v="164"/>
    <x v="2"/>
    <s v="Priya Nair"/>
    <s v="Security"/>
    <x v="8"/>
    <n v="472"/>
    <n v="2489328"/>
  </r>
  <r>
    <x v="165"/>
    <x v="3"/>
    <s v="Rahul Sharma"/>
    <s v="Security"/>
    <x v="4"/>
    <n v="207"/>
    <n v="1158993"/>
  </r>
  <r>
    <x v="28"/>
    <x v="0"/>
    <s v="Sneha Kapoor"/>
    <s v="Cloud"/>
    <x v="7"/>
    <n v="309"/>
    <n v="1004250"/>
  </r>
  <r>
    <x v="166"/>
    <x v="6"/>
    <s v="Neha Joshi"/>
    <s v="IT"/>
    <x v="2"/>
    <n v="99"/>
    <n v="172458"/>
  </r>
  <r>
    <x v="109"/>
    <x v="4"/>
    <s v="Rahul Sharma"/>
    <s v="Management"/>
    <x v="5"/>
    <n v="206"/>
    <n v="1533670"/>
  </r>
  <r>
    <x v="167"/>
    <x v="3"/>
    <s v="Anjali Rao"/>
    <s v="Security"/>
    <x v="6"/>
    <n v="406"/>
    <n v="619962"/>
  </r>
  <r>
    <x v="86"/>
    <x v="0"/>
    <s v="Priya Nair"/>
    <s v="Marketing"/>
    <x v="0"/>
    <n v="388"/>
    <n v="1321528"/>
  </r>
  <r>
    <x v="168"/>
    <x v="3"/>
    <s v="Vikas Singh"/>
    <s v="Cloud"/>
    <x v="6"/>
    <n v="110"/>
    <n v="124410"/>
  </r>
  <r>
    <x v="169"/>
    <x v="5"/>
    <s v="Vikas Singh"/>
    <s v="Management"/>
    <x v="6"/>
    <n v="243"/>
    <n v="677484"/>
  </r>
  <r>
    <x v="170"/>
    <x v="3"/>
    <s v="Neha Joshi"/>
    <s v="Data Science"/>
    <x v="8"/>
    <n v="199"/>
    <n v="760180"/>
  </r>
  <r>
    <x v="80"/>
    <x v="0"/>
    <s v="Priya Nair"/>
    <s v="Data Science"/>
    <x v="6"/>
    <n v="268"/>
    <n v="776396"/>
  </r>
  <r>
    <x v="161"/>
    <x v="3"/>
    <s v="Anjali Rao"/>
    <s v="IT"/>
    <x v="8"/>
    <n v="350"/>
    <n v="891450"/>
  </r>
  <r>
    <x v="117"/>
    <x v="9"/>
    <s v="Rahul Sharma"/>
    <s v="Development"/>
    <x v="8"/>
    <n v="158"/>
    <n v="544942"/>
  </r>
  <r>
    <x v="38"/>
    <x v="3"/>
    <s v="Sneha Kapoor"/>
    <s v="Data Science"/>
    <x v="5"/>
    <n v="164"/>
    <n v="881500"/>
  </r>
  <r>
    <x v="71"/>
    <x v="8"/>
    <s v="Sneha Kapoor"/>
    <s v="Development"/>
    <x v="1"/>
    <n v="437"/>
    <n v="2046908"/>
  </r>
  <r>
    <x v="4"/>
    <x v="2"/>
    <s v="Vikas Singh"/>
    <s v="Security"/>
    <x v="0"/>
    <n v="363"/>
    <n v="408012"/>
  </r>
  <r>
    <x v="171"/>
    <x v="4"/>
    <s v="Sneha Kapoor"/>
    <s v="Marketing"/>
    <x v="7"/>
    <n v="456"/>
    <n v="920664"/>
  </r>
  <r>
    <x v="172"/>
    <x v="7"/>
    <s v="Neha Joshi"/>
    <s v="Security"/>
    <x v="4"/>
    <n v="440"/>
    <n v="2344760"/>
  </r>
  <r>
    <x v="138"/>
    <x v="4"/>
    <s v="Rahul Sharma"/>
    <s v="Data Science"/>
    <x v="1"/>
    <n v="254"/>
    <n v="1706118"/>
  </r>
  <r>
    <x v="74"/>
    <x v="1"/>
    <s v="Sneha Kapoor"/>
    <s v="Cloud"/>
    <x v="9"/>
    <n v="116"/>
    <n v="659112"/>
  </r>
  <r>
    <x v="173"/>
    <x v="3"/>
    <s v="Anjali Rao"/>
    <s v="Data Science"/>
    <x v="3"/>
    <n v="304"/>
    <n v="1115680"/>
  </r>
  <r>
    <x v="174"/>
    <x v="5"/>
    <s v="Priya Nair"/>
    <s v="Management"/>
    <x v="3"/>
    <n v="12"/>
    <n v="35832"/>
  </r>
  <r>
    <x v="20"/>
    <x v="6"/>
    <s v="Anjali Rao"/>
    <s v="Data Science"/>
    <x v="2"/>
    <n v="234"/>
    <n v="1470222"/>
  </r>
  <r>
    <x v="175"/>
    <x v="9"/>
    <s v="Neha Joshi"/>
    <s v="Data Science"/>
    <x v="0"/>
    <n v="427"/>
    <n v="2360029"/>
  </r>
  <r>
    <x v="164"/>
    <x v="8"/>
    <s v="Sneha Kapoor"/>
    <s v="Management"/>
    <x v="1"/>
    <n v="461"/>
    <n v="2052833"/>
  </r>
  <r>
    <x v="112"/>
    <x v="6"/>
    <s v="Vikas Singh"/>
    <s v="Marketing"/>
    <x v="7"/>
    <n v="310"/>
    <n v="2146440"/>
  </r>
  <r>
    <x v="176"/>
    <x v="4"/>
    <s v="Rahul Sharma"/>
    <s v="Data Science"/>
    <x v="1"/>
    <n v="18"/>
    <n v="63504"/>
  </r>
  <r>
    <x v="89"/>
    <x v="1"/>
    <s v="Karan Mehta"/>
    <s v="Marketing"/>
    <x v="6"/>
    <n v="374"/>
    <n v="1304512"/>
  </r>
  <r>
    <x v="177"/>
    <x v="8"/>
    <s v="Amit Verma"/>
    <s v="Marketing"/>
    <x v="4"/>
    <n v="204"/>
    <n v="1032444"/>
  </r>
  <r>
    <x v="178"/>
    <x v="1"/>
    <s v="Anjali Rao"/>
    <s v="Data Science"/>
    <x v="7"/>
    <n v="64"/>
    <n v="205120"/>
  </r>
  <r>
    <x v="130"/>
    <x v="8"/>
    <s v="Amit Verma"/>
    <s v="Marketing"/>
    <x v="1"/>
    <n v="231"/>
    <n v="1800645"/>
  </r>
  <r>
    <x v="1"/>
    <x v="6"/>
    <s v="Priya Nair"/>
    <s v="Development"/>
    <x v="0"/>
    <n v="215"/>
    <n v="789265"/>
  </r>
  <r>
    <x v="179"/>
    <x v="1"/>
    <s v="Vikas Singh"/>
    <s v="Management"/>
    <x v="3"/>
    <n v="39"/>
    <n v="177333"/>
  </r>
  <r>
    <x v="159"/>
    <x v="3"/>
    <s v="Vikas Singh"/>
    <s v="IT"/>
    <x v="1"/>
    <n v="258"/>
    <n v="1699188"/>
  </r>
  <r>
    <x v="180"/>
    <x v="5"/>
    <s v="Amit Verma"/>
    <s v="Data Science"/>
    <x v="7"/>
    <n v="324"/>
    <n v="1993572"/>
  </r>
  <r>
    <x v="10"/>
    <x v="0"/>
    <s v="Rahul Sharma"/>
    <s v="Security"/>
    <x v="0"/>
    <n v="305"/>
    <n v="1578680"/>
  </r>
  <r>
    <x v="181"/>
    <x v="1"/>
    <s v="Rahul Sharma"/>
    <s v="Security"/>
    <x v="4"/>
    <n v="432"/>
    <n v="1865808"/>
  </r>
  <r>
    <x v="61"/>
    <x v="7"/>
    <s v="Vikas Singh"/>
    <s v="Data Science"/>
    <x v="2"/>
    <n v="15"/>
    <n v="77865"/>
  </r>
  <r>
    <x v="45"/>
    <x v="0"/>
    <s v="Karan Mehta"/>
    <s v="Data Science"/>
    <x v="4"/>
    <n v="240"/>
    <n v="395760"/>
  </r>
  <r>
    <x v="163"/>
    <x v="8"/>
    <s v="Anjali Rao"/>
    <s v="Marketing"/>
    <x v="7"/>
    <n v="140"/>
    <n v="569380"/>
  </r>
  <r>
    <x v="182"/>
    <x v="0"/>
    <s v="Karan Mehta"/>
    <s v="IT"/>
    <x v="4"/>
    <n v="179"/>
    <n v="525723"/>
  </r>
  <r>
    <x v="183"/>
    <x v="3"/>
    <s v="Anjali Rao"/>
    <s v="Security"/>
    <x v="9"/>
    <n v="23"/>
    <n v="165554"/>
  </r>
  <r>
    <x v="77"/>
    <x v="4"/>
    <s v="Priya Nair"/>
    <s v="Marketing"/>
    <x v="7"/>
    <n v="110"/>
    <n v="852390"/>
  </r>
  <r>
    <x v="184"/>
    <x v="5"/>
    <s v="Rahul Sharma"/>
    <s v="Security"/>
    <x v="5"/>
    <n v="241"/>
    <n v="1101370"/>
  </r>
  <r>
    <x v="96"/>
    <x v="0"/>
    <s v="Karan Mehta"/>
    <s v="Development"/>
    <x v="5"/>
    <n v="138"/>
    <n v="879888"/>
  </r>
  <r>
    <x v="141"/>
    <x v="6"/>
    <s v="Vikas Singh"/>
    <s v="Management"/>
    <x v="2"/>
    <n v="173"/>
    <n v="490801"/>
  </r>
  <r>
    <x v="185"/>
    <x v="2"/>
    <s v="Anjali Rao"/>
    <s v="Data Science"/>
    <x v="5"/>
    <n v="158"/>
    <n v="418700"/>
  </r>
  <r>
    <x v="34"/>
    <x v="6"/>
    <s v="Priya Nair"/>
    <s v="Data Science"/>
    <x v="7"/>
    <n v="337"/>
    <n v="623113"/>
  </r>
  <r>
    <x v="24"/>
    <x v="8"/>
    <s v="Priya Nair"/>
    <s v="Development"/>
    <x v="6"/>
    <n v="48"/>
    <n v="152688"/>
  </r>
  <r>
    <x v="178"/>
    <x v="2"/>
    <s v="Amit Verma"/>
    <s v="Cloud"/>
    <x v="5"/>
    <n v="371"/>
    <n v="442974"/>
  </r>
  <r>
    <x v="186"/>
    <x v="1"/>
    <s v="Rahul Sharma"/>
    <s v="Marketing"/>
    <x v="4"/>
    <n v="449"/>
    <n v="1184462"/>
  </r>
  <r>
    <x v="187"/>
    <x v="6"/>
    <s v="Neha Joshi"/>
    <s v="Development"/>
    <x v="3"/>
    <n v="333"/>
    <n v="2101563"/>
  </r>
  <r>
    <x v="52"/>
    <x v="6"/>
    <s v="Karan Mehta"/>
    <s v="Management"/>
    <x v="5"/>
    <n v="91"/>
    <n v="258531"/>
  </r>
  <r>
    <x v="2"/>
    <x v="4"/>
    <s v="Neha Joshi"/>
    <s v="Development"/>
    <x v="2"/>
    <n v="379"/>
    <n v="828873"/>
  </r>
  <r>
    <x v="40"/>
    <x v="7"/>
    <s v="Neha Joshi"/>
    <s v="Data Science"/>
    <x v="9"/>
    <n v="75"/>
    <n v="436575"/>
  </r>
  <r>
    <x v="188"/>
    <x v="2"/>
    <s v="Sneha Kapoor"/>
    <s v="IT"/>
    <x v="8"/>
    <n v="452"/>
    <n v="3534188"/>
  </r>
  <r>
    <x v="139"/>
    <x v="5"/>
    <s v="Priya Nair"/>
    <s v="Marketing"/>
    <x v="0"/>
    <n v="338"/>
    <n v="1042054"/>
  </r>
  <r>
    <x v="189"/>
    <x v="5"/>
    <s v="Amit Verma"/>
    <s v="Development"/>
    <x v="6"/>
    <n v="150"/>
    <n v="1148700"/>
  </r>
  <r>
    <x v="190"/>
    <x v="7"/>
    <s v="Rahul Sharma"/>
    <s v="Data Science"/>
    <x v="2"/>
    <n v="398"/>
    <n v="2521728"/>
  </r>
  <r>
    <x v="92"/>
    <x v="4"/>
    <s v="Karan Mehta"/>
    <s v="Management"/>
    <x v="8"/>
    <n v="146"/>
    <n v="1057624"/>
  </r>
  <r>
    <x v="191"/>
    <x v="5"/>
    <s v="Amit Verma"/>
    <s v="Marketing"/>
    <x v="3"/>
    <n v="169"/>
    <n v="985608"/>
  </r>
  <r>
    <x v="128"/>
    <x v="9"/>
    <s v="Anjali Rao"/>
    <s v="Management"/>
    <x v="3"/>
    <n v="336"/>
    <n v="2107392"/>
  </r>
  <r>
    <x v="192"/>
    <x v="1"/>
    <s v="Neha Joshi"/>
    <s v="Development"/>
    <x v="4"/>
    <n v="226"/>
    <n v="264872"/>
  </r>
  <r>
    <x v="131"/>
    <x v="5"/>
    <s v="Neha Joshi"/>
    <s v="Security"/>
    <x v="6"/>
    <n v="355"/>
    <n v="2001135"/>
  </r>
  <r>
    <x v="154"/>
    <x v="1"/>
    <s v="Anjali Rao"/>
    <s v="Data Science"/>
    <x v="0"/>
    <n v="426"/>
    <n v="909936"/>
  </r>
  <r>
    <x v="193"/>
    <x v="6"/>
    <s v="Anjali Rao"/>
    <s v="Cloud"/>
    <x v="1"/>
    <n v="256"/>
    <n v="1998336"/>
  </r>
  <r>
    <x v="78"/>
    <x v="8"/>
    <s v="Anjali Rao"/>
    <s v="Security"/>
    <x v="3"/>
    <n v="66"/>
    <n v="198858"/>
  </r>
  <r>
    <x v="71"/>
    <x v="7"/>
    <s v="Anjali Rao"/>
    <s v="Security"/>
    <x v="1"/>
    <n v="292"/>
    <n v="1684840"/>
  </r>
  <r>
    <x v="194"/>
    <x v="6"/>
    <s v="Amit Verma"/>
    <s v="Cloud"/>
    <x v="4"/>
    <n v="397"/>
    <n v="647904"/>
  </r>
  <r>
    <x v="27"/>
    <x v="1"/>
    <s v="Anjali Rao"/>
    <s v="Cloud"/>
    <x v="8"/>
    <n v="122"/>
    <n v="930372"/>
  </r>
  <r>
    <x v="195"/>
    <x v="6"/>
    <s v="Neha Joshi"/>
    <s v="IT"/>
    <x v="1"/>
    <n v="485"/>
    <n v="2253310"/>
  </r>
  <r>
    <x v="196"/>
    <x v="7"/>
    <s v="Anjali Rao"/>
    <s v="IT"/>
    <x v="2"/>
    <n v="119"/>
    <n v="774571"/>
  </r>
  <r>
    <x v="197"/>
    <x v="0"/>
    <s v="Vikas Singh"/>
    <s v="Data Science"/>
    <x v="8"/>
    <n v="270"/>
    <n v="672840"/>
  </r>
  <r>
    <x v="198"/>
    <x v="2"/>
    <s v="Neha Joshi"/>
    <s v="Management"/>
    <x v="5"/>
    <n v="120"/>
    <n v="791880"/>
  </r>
  <r>
    <x v="186"/>
    <x v="3"/>
    <s v="Vikas Singh"/>
    <s v="Security"/>
    <x v="2"/>
    <n v="437"/>
    <n v="3390683"/>
  </r>
  <r>
    <x v="199"/>
    <x v="7"/>
    <s v="Priya Nair"/>
    <s v="Development"/>
    <x v="9"/>
    <n v="168"/>
    <n v="478968"/>
  </r>
  <r>
    <x v="162"/>
    <x v="6"/>
    <s v="Vikas Singh"/>
    <s v="Cloud"/>
    <x v="4"/>
    <n v="241"/>
    <n v="288718"/>
  </r>
  <r>
    <x v="200"/>
    <x v="8"/>
    <s v="Amit Verma"/>
    <s v="Development"/>
    <x v="6"/>
    <n v="163"/>
    <n v="561372"/>
  </r>
  <r>
    <x v="185"/>
    <x v="8"/>
    <s v="Anjali Rao"/>
    <s v="Cloud"/>
    <x v="4"/>
    <n v="410"/>
    <n v="1668700"/>
  </r>
  <r>
    <x v="103"/>
    <x v="4"/>
    <s v="Anjali Rao"/>
    <s v="Cloud"/>
    <x v="1"/>
    <n v="178"/>
    <n v="1373626"/>
  </r>
  <r>
    <x v="8"/>
    <x v="1"/>
    <s v="Vikas Singh"/>
    <s v="Security"/>
    <x v="5"/>
    <n v="440"/>
    <n v="2111560"/>
  </r>
  <r>
    <x v="201"/>
    <x v="1"/>
    <s v="Neha Joshi"/>
    <s v="Cloud"/>
    <x v="3"/>
    <n v="399"/>
    <n v="1758393"/>
  </r>
  <r>
    <x v="7"/>
    <x v="5"/>
    <s v="Amit Verma"/>
    <s v="Security"/>
    <x v="4"/>
    <n v="267"/>
    <n v="1461291"/>
  </r>
  <r>
    <x v="113"/>
    <x v="2"/>
    <s v="Rahul Sharma"/>
    <s v="Development"/>
    <x v="5"/>
    <n v="71"/>
    <n v="211864"/>
  </r>
  <r>
    <x v="90"/>
    <x v="6"/>
    <s v="Vikas Singh"/>
    <s v="Management"/>
    <x v="8"/>
    <n v="406"/>
    <n v="2652398"/>
  </r>
  <r>
    <x v="202"/>
    <x v="3"/>
    <s v="Neha Joshi"/>
    <s v="Development"/>
    <x v="6"/>
    <n v="302"/>
    <n v="2226344"/>
  </r>
  <r>
    <x v="6"/>
    <x v="2"/>
    <s v="Anjali Rao"/>
    <s v="IT"/>
    <x v="3"/>
    <n v="93"/>
    <n v="239103"/>
  </r>
  <r>
    <x v="45"/>
    <x v="7"/>
    <s v="Priya Nair"/>
    <s v="Management"/>
    <x v="5"/>
    <n v="278"/>
    <n v="1998542"/>
  </r>
  <r>
    <x v="203"/>
    <x v="9"/>
    <s v="Karan Mehta"/>
    <s v="Cloud"/>
    <x v="8"/>
    <n v="454"/>
    <n v="1445990"/>
  </r>
  <r>
    <x v="204"/>
    <x v="3"/>
    <s v="Priya Nair"/>
    <s v="Management"/>
    <x v="9"/>
    <n v="434"/>
    <n v="2074086"/>
  </r>
  <r>
    <x v="205"/>
    <x v="1"/>
    <s v="Rahul Sharma"/>
    <s v="IT"/>
    <x v="0"/>
    <n v="102"/>
    <n v="421974"/>
  </r>
  <r>
    <x v="206"/>
    <x v="9"/>
    <s v="Priya Nair"/>
    <s v="Marketing"/>
    <x v="6"/>
    <n v="248"/>
    <n v="1832720"/>
  </r>
  <r>
    <x v="156"/>
    <x v="9"/>
    <s v="Sneha Kapoor"/>
    <s v="Security"/>
    <x v="7"/>
    <n v="442"/>
    <n v="3220854"/>
  </r>
  <r>
    <x v="196"/>
    <x v="6"/>
    <s v="Rahul Sharma"/>
    <s v="Data Science"/>
    <x v="5"/>
    <n v="214"/>
    <n v="1151962"/>
  </r>
  <r>
    <x v="49"/>
    <x v="8"/>
    <s v="Vikas Singh"/>
    <s v="Management"/>
    <x v="2"/>
    <n v="495"/>
    <n v="2253240"/>
  </r>
  <r>
    <x v="207"/>
    <x v="2"/>
    <s v="Rahul Sharma"/>
    <s v="Development"/>
    <x v="4"/>
    <n v="102"/>
    <n v="480012"/>
  </r>
  <r>
    <x v="208"/>
    <x v="7"/>
    <s v="Vikas Singh"/>
    <s v="Security"/>
    <x v="4"/>
    <n v="139"/>
    <n v="445634"/>
  </r>
  <r>
    <x v="209"/>
    <x v="7"/>
    <s v="Anjali Rao"/>
    <s v="Development"/>
    <x v="2"/>
    <n v="448"/>
    <n v="2237312"/>
  </r>
  <r>
    <x v="44"/>
    <x v="3"/>
    <s v="Karan Mehta"/>
    <s v="Marketing"/>
    <x v="0"/>
    <n v="204"/>
    <n v="517548"/>
  </r>
  <r>
    <x v="210"/>
    <x v="6"/>
    <s v="Amit Verma"/>
    <s v="IT"/>
    <x v="5"/>
    <n v="253"/>
    <n v="1893958"/>
  </r>
  <r>
    <x v="103"/>
    <x v="8"/>
    <s v="Karan Mehta"/>
    <s v="Data Science"/>
    <x v="1"/>
    <n v="470"/>
    <n v="3102000"/>
  </r>
  <r>
    <x v="211"/>
    <x v="2"/>
    <s v="Rahul Sharma"/>
    <s v="Marketing"/>
    <x v="6"/>
    <n v="158"/>
    <n v="233366"/>
  </r>
  <r>
    <x v="42"/>
    <x v="0"/>
    <s v="Rahul Sharma"/>
    <s v="IT"/>
    <x v="8"/>
    <n v="490"/>
    <n v="1507240"/>
  </r>
  <r>
    <x v="202"/>
    <x v="5"/>
    <s v="Sneha Kapoor"/>
    <s v="Management"/>
    <x v="1"/>
    <n v="68"/>
    <n v="251260"/>
  </r>
  <r>
    <x v="195"/>
    <x v="7"/>
    <s v="Rahul Sharma"/>
    <s v="Management"/>
    <x v="4"/>
    <n v="400"/>
    <n v="1218800"/>
  </r>
  <r>
    <x v="142"/>
    <x v="6"/>
    <s v="Amit Verma"/>
    <s v="Security"/>
    <x v="2"/>
    <n v="72"/>
    <n v="574344"/>
  </r>
  <r>
    <x v="39"/>
    <x v="6"/>
    <s v="Karan Mehta"/>
    <s v="Data Science"/>
    <x v="8"/>
    <n v="110"/>
    <n v="606650"/>
  </r>
  <r>
    <x v="40"/>
    <x v="3"/>
    <s v="Amit Verma"/>
    <s v="Management"/>
    <x v="1"/>
    <n v="197"/>
    <n v="313821"/>
  </r>
  <r>
    <x v="122"/>
    <x v="7"/>
    <s v="Amit Verma"/>
    <s v="Management"/>
    <x v="8"/>
    <n v="156"/>
    <n v="962520"/>
  </r>
  <r>
    <x v="192"/>
    <x v="6"/>
    <s v="Anjali Rao"/>
    <s v="IT"/>
    <x v="2"/>
    <n v="129"/>
    <n v="935121"/>
  </r>
  <r>
    <x v="8"/>
    <x v="7"/>
    <s v="Neha Joshi"/>
    <s v="Data Science"/>
    <x v="4"/>
    <n v="448"/>
    <n v="2117696"/>
  </r>
  <r>
    <x v="79"/>
    <x v="1"/>
    <s v="Rahul Sharma"/>
    <s v="Cloud"/>
    <x v="8"/>
    <n v="498"/>
    <n v="2513406"/>
  </r>
  <r>
    <x v="212"/>
    <x v="8"/>
    <s v="Rahul Sharma"/>
    <s v="IT"/>
    <x v="9"/>
    <n v="401"/>
    <n v="700547"/>
  </r>
  <r>
    <x v="213"/>
    <x v="0"/>
    <s v="Anjali Rao"/>
    <s v="Cloud"/>
    <x v="2"/>
    <n v="127"/>
    <n v="998220"/>
  </r>
  <r>
    <x v="123"/>
    <x v="9"/>
    <s v="Vikas Singh"/>
    <s v="Data Science"/>
    <x v="7"/>
    <n v="149"/>
    <n v="1040467"/>
  </r>
  <r>
    <x v="214"/>
    <x v="1"/>
    <s v="Anjali Rao"/>
    <s v="Management"/>
    <x v="7"/>
    <n v="340"/>
    <n v="1327700"/>
  </r>
  <r>
    <x v="147"/>
    <x v="1"/>
    <s v="Rahul Sharma"/>
    <s v="Management"/>
    <x v="3"/>
    <n v="232"/>
    <n v="277936"/>
  </r>
  <r>
    <x v="134"/>
    <x v="6"/>
    <s v="Karan Mehta"/>
    <s v="Data Science"/>
    <x v="3"/>
    <n v="491"/>
    <n v="1809335"/>
  </r>
  <r>
    <x v="70"/>
    <x v="4"/>
    <s v="Amit Verma"/>
    <s v="Development"/>
    <x v="7"/>
    <n v="473"/>
    <n v="2323849"/>
  </r>
  <r>
    <x v="8"/>
    <x v="7"/>
    <s v="Rahul Sharma"/>
    <s v="Management"/>
    <x v="8"/>
    <n v="330"/>
    <n v="2272380"/>
  </r>
  <r>
    <x v="24"/>
    <x v="1"/>
    <s v="Neha Joshi"/>
    <s v="IT"/>
    <x v="9"/>
    <n v="79"/>
    <n v="414434"/>
  </r>
  <r>
    <x v="42"/>
    <x v="3"/>
    <s v="Rahul Sharma"/>
    <s v="Management"/>
    <x v="7"/>
    <n v="481"/>
    <n v="933140"/>
  </r>
  <r>
    <x v="215"/>
    <x v="4"/>
    <s v="Rahul Sharma"/>
    <s v="Marketing"/>
    <x v="4"/>
    <n v="449"/>
    <n v="2978666"/>
  </r>
  <r>
    <x v="133"/>
    <x v="4"/>
    <s v="Sneha Kapoor"/>
    <s v="Management"/>
    <x v="3"/>
    <n v="32"/>
    <n v="169952"/>
  </r>
  <r>
    <x v="216"/>
    <x v="3"/>
    <s v="Sneha Kapoor"/>
    <s v="Security"/>
    <x v="9"/>
    <n v="385"/>
    <n v="644490"/>
  </r>
  <r>
    <x v="217"/>
    <x v="7"/>
    <s v="Karan Mehta"/>
    <s v="Development"/>
    <x v="1"/>
    <n v="126"/>
    <n v="593838"/>
  </r>
  <r>
    <x v="2"/>
    <x v="8"/>
    <s v="Anjali Rao"/>
    <s v="Cloud"/>
    <x v="7"/>
    <n v="278"/>
    <n v="1273240"/>
  </r>
  <r>
    <x v="186"/>
    <x v="5"/>
    <s v="Vikas Singh"/>
    <s v="Security"/>
    <x v="0"/>
    <n v="254"/>
    <n v="1535430"/>
  </r>
  <r>
    <x v="1"/>
    <x v="4"/>
    <s v="Karan Mehta"/>
    <s v="Development"/>
    <x v="9"/>
    <n v="492"/>
    <n v="3917796"/>
  </r>
  <r>
    <x v="218"/>
    <x v="5"/>
    <s v="Anjali Rao"/>
    <s v="Data Science"/>
    <x v="8"/>
    <n v="290"/>
    <n v="1313410"/>
  </r>
  <r>
    <x v="49"/>
    <x v="7"/>
    <s v="Rahul Sharma"/>
    <s v="Cloud"/>
    <x v="4"/>
    <n v="365"/>
    <n v="426320"/>
  </r>
  <r>
    <x v="219"/>
    <x v="2"/>
    <s v="Vikas Singh"/>
    <s v="Security"/>
    <x v="5"/>
    <n v="396"/>
    <n v="2183940"/>
  </r>
  <r>
    <x v="220"/>
    <x v="1"/>
    <s v="Rahul Sharma"/>
    <s v="Cloud"/>
    <x v="7"/>
    <n v="246"/>
    <n v="416232"/>
  </r>
  <r>
    <x v="207"/>
    <x v="6"/>
    <s v="Neha Joshi"/>
    <s v="Marketing"/>
    <x v="1"/>
    <n v="159"/>
    <n v="512457"/>
  </r>
  <r>
    <x v="221"/>
    <x v="2"/>
    <s v="Anjali Rao"/>
    <s v="Management"/>
    <x v="6"/>
    <n v="331"/>
    <n v="945336"/>
  </r>
  <r>
    <x v="222"/>
    <x v="9"/>
    <s v="Vikas Singh"/>
    <s v="Security"/>
    <x v="5"/>
    <n v="215"/>
    <n v="1707745"/>
  </r>
  <r>
    <x v="192"/>
    <x v="5"/>
    <s v="Sneha Kapoor"/>
    <s v="Management"/>
    <x v="5"/>
    <n v="208"/>
    <n v="987792"/>
  </r>
  <r>
    <x v="219"/>
    <x v="4"/>
    <s v="Neha Joshi"/>
    <s v="Management"/>
    <x v="0"/>
    <n v="370"/>
    <n v="528360"/>
  </r>
  <r>
    <x v="223"/>
    <x v="0"/>
    <s v="Neha Joshi"/>
    <s v="Data Science"/>
    <x v="1"/>
    <n v="158"/>
    <n v="178066"/>
  </r>
  <r>
    <x v="139"/>
    <x v="5"/>
    <s v="Karan Mehta"/>
    <s v="Data Science"/>
    <x v="6"/>
    <n v="472"/>
    <n v="3209600"/>
  </r>
  <r>
    <x v="167"/>
    <x v="5"/>
    <s v="Sneha Kapoor"/>
    <s v="IT"/>
    <x v="6"/>
    <n v="325"/>
    <n v="1989000"/>
  </r>
  <r>
    <x v="46"/>
    <x v="8"/>
    <s v="Vikas Singh"/>
    <s v="Management"/>
    <x v="3"/>
    <n v="184"/>
    <n v="627992"/>
  </r>
  <r>
    <x v="224"/>
    <x v="1"/>
    <s v="Neha Joshi"/>
    <s v="IT"/>
    <x v="4"/>
    <n v="460"/>
    <n v="2608660"/>
  </r>
  <r>
    <x v="225"/>
    <x v="4"/>
    <s v="Vikas Singh"/>
    <s v="IT"/>
    <x v="7"/>
    <n v="347"/>
    <n v="1917522"/>
  </r>
  <r>
    <x v="88"/>
    <x v="2"/>
    <s v="Anjali Rao"/>
    <s v="IT"/>
    <x v="3"/>
    <n v="98"/>
    <n v="449918"/>
  </r>
  <r>
    <x v="226"/>
    <x v="1"/>
    <s v="Rahul Sharma"/>
    <s v="Data Science"/>
    <x v="5"/>
    <n v="186"/>
    <n v="1426434"/>
  </r>
  <r>
    <x v="43"/>
    <x v="1"/>
    <s v="Sneha Kapoor"/>
    <s v="Development"/>
    <x v="0"/>
    <n v="353"/>
    <n v="1349872"/>
  </r>
  <r>
    <x v="165"/>
    <x v="0"/>
    <s v="Rahul Sharma"/>
    <s v="Marketing"/>
    <x v="7"/>
    <n v="78"/>
    <n v="361374"/>
  </r>
  <r>
    <x v="196"/>
    <x v="3"/>
    <s v="Amit Verma"/>
    <s v="Data Science"/>
    <x v="6"/>
    <n v="27"/>
    <n v="182088"/>
  </r>
  <r>
    <x v="127"/>
    <x v="5"/>
    <s v="Rahul Sharma"/>
    <s v="Security"/>
    <x v="1"/>
    <n v="235"/>
    <n v="1456295"/>
  </r>
  <r>
    <x v="166"/>
    <x v="7"/>
    <s v="Anjali Rao"/>
    <s v="Management"/>
    <x v="3"/>
    <n v="410"/>
    <n v="630170"/>
  </r>
  <r>
    <x v="227"/>
    <x v="1"/>
    <s v="Karan Mehta"/>
    <s v="Security"/>
    <x v="9"/>
    <n v="196"/>
    <n v="292628"/>
  </r>
  <r>
    <x v="92"/>
    <x v="4"/>
    <s v="Vikas Singh"/>
    <s v="Cloud"/>
    <x v="0"/>
    <n v="111"/>
    <n v="595626"/>
  </r>
  <r>
    <x v="209"/>
    <x v="5"/>
    <s v="Neha Joshi"/>
    <s v="Cloud"/>
    <x v="5"/>
    <n v="365"/>
    <n v="1955305"/>
  </r>
  <r>
    <x v="77"/>
    <x v="3"/>
    <s v="Sneha Kapoor"/>
    <s v="Development"/>
    <x v="6"/>
    <n v="224"/>
    <n v="1056832"/>
  </r>
  <r>
    <x v="134"/>
    <x v="6"/>
    <s v="Neha Joshi"/>
    <s v="Security"/>
    <x v="7"/>
    <n v="120"/>
    <n v="691560"/>
  </r>
  <r>
    <x v="228"/>
    <x v="8"/>
    <s v="Vikas Singh"/>
    <s v="Data Science"/>
    <x v="5"/>
    <n v="240"/>
    <n v="1697040"/>
  </r>
  <r>
    <x v="80"/>
    <x v="8"/>
    <s v="Priya Nair"/>
    <s v="Management"/>
    <x v="6"/>
    <n v="17"/>
    <n v="96050"/>
  </r>
  <r>
    <x v="229"/>
    <x v="0"/>
    <s v="Sneha Kapoor"/>
    <s v="Security"/>
    <x v="1"/>
    <n v="374"/>
    <n v="1628770"/>
  </r>
  <r>
    <x v="93"/>
    <x v="1"/>
    <s v="Sneha Kapoor"/>
    <s v="Development"/>
    <x v="6"/>
    <n v="406"/>
    <n v="2306080"/>
  </r>
  <r>
    <x v="230"/>
    <x v="7"/>
    <s v="Neha Joshi"/>
    <s v="Security"/>
    <x v="5"/>
    <n v="358"/>
    <n v="2227118"/>
  </r>
  <r>
    <x v="231"/>
    <x v="8"/>
    <s v="Karan Mehta"/>
    <s v="IT"/>
    <x v="7"/>
    <n v="221"/>
    <n v="390728"/>
  </r>
  <r>
    <x v="56"/>
    <x v="4"/>
    <s v="Sneha Kapoor"/>
    <s v="Development"/>
    <x v="7"/>
    <n v="140"/>
    <n v="658560"/>
  </r>
  <r>
    <x v="232"/>
    <x v="6"/>
    <s v="Karan Mehta"/>
    <s v="Marketing"/>
    <x v="8"/>
    <n v="143"/>
    <n v="563706"/>
  </r>
  <r>
    <x v="174"/>
    <x v="8"/>
    <s v="Amit Verma"/>
    <s v="Development"/>
    <x v="3"/>
    <n v="395"/>
    <n v="2089945"/>
  </r>
  <r>
    <x v="21"/>
    <x v="7"/>
    <s v="Amit Verma"/>
    <s v="Security"/>
    <x v="6"/>
    <n v="253"/>
    <n v="1912174"/>
  </r>
  <r>
    <x v="233"/>
    <x v="0"/>
    <s v="Neha Joshi"/>
    <s v="Security"/>
    <x v="0"/>
    <n v="118"/>
    <n v="498904"/>
  </r>
  <r>
    <x v="133"/>
    <x v="1"/>
    <s v="Neha Joshi"/>
    <s v="Development"/>
    <x v="7"/>
    <n v="233"/>
    <n v="660788"/>
  </r>
  <r>
    <x v="35"/>
    <x v="1"/>
    <s v="Priya Nair"/>
    <s v="Data Science"/>
    <x v="5"/>
    <n v="297"/>
    <n v="1893375"/>
  </r>
  <r>
    <x v="98"/>
    <x v="3"/>
    <s v="Vikas Singh"/>
    <s v="IT"/>
    <x v="5"/>
    <n v="384"/>
    <n v="693888"/>
  </r>
  <r>
    <x v="151"/>
    <x v="4"/>
    <s v="Vikas Singh"/>
    <s v="Management"/>
    <x v="9"/>
    <n v="352"/>
    <n v="1293248"/>
  </r>
  <r>
    <x v="234"/>
    <x v="2"/>
    <s v="Rahul Sharma"/>
    <s v="IT"/>
    <x v="8"/>
    <n v="285"/>
    <n v="1782675"/>
  </r>
  <r>
    <x v="175"/>
    <x v="8"/>
    <s v="Anjali Rao"/>
    <s v="IT"/>
    <x v="9"/>
    <n v="54"/>
    <n v="158436"/>
  </r>
  <r>
    <x v="235"/>
    <x v="5"/>
    <s v="Rahul Sharma"/>
    <s v="IT"/>
    <x v="1"/>
    <n v="208"/>
    <n v="616720"/>
  </r>
  <r>
    <x v="187"/>
    <x v="7"/>
    <s v="Vikas Singh"/>
    <s v="Cloud"/>
    <x v="9"/>
    <n v="490"/>
    <n v="1941380"/>
  </r>
  <r>
    <x v="86"/>
    <x v="1"/>
    <s v="Priya Nair"/>
    <s v="Management"/>
    <x v="3"/>
    <n v="68"/>
    <n v="165444"/>
  </r>
  <r>
    <x v="215"/>
    <x v="1"/>
    <s v="Amit Verma"/>
    <s v="IT"/>
    <x v="1"/>
    <n v="446"/>
    <n v="2589030"/>
  </r>
  <r>
    <x v="236"/>
    <x v="6"/>
    <s v="Neha Joshi"/>
    <s v="Security"/>
    <x v="0"/>
    <n v="343"/>
    <n v="1869693"/>
  </r>
  <r>
    <x v="237"/>
    <x v="9"/>
    <s v="Rahul Sharma"/>
    <s v="Cloud"/>
    <x v="9"/>
    <n v="160"/>
    <n v="434240"/>
  </r>
  <r>
    <x v="4"/>
    <x v="1"/>
    <s v="Anjali Rao"/>
    <s v="IT"/>
    <x v="1"/>
    <n v="259"/>
    <n v="1894585"/>
  </r>
  <r>
    <x v="238"/>
    <x v="5"/>
    <s v="Vikas Singh"/>
    <s v="Data Science"/>
    <x v="2"/>
    <n v="211"/>
    <n v="469475"/>
  </r>
  <r>
    <x v="223"/>
    <x v="7"/>
    <s v="Neha Joshi"/>
    <s v="Cloud"/>
    <x v="3"/>
    <n v="144"/>
    <n v="256752"/>
  </r>
  <r>
    <x v="104"/>
    <x v="9"/>
    <s v="Vikas Singh"/>
    <s v="Data Science"/>
    <x v="6"/>
    <n v="305"/>
    <n v="363560"/>
  </r>
  <r>
    <x v="212"/>
    <x v="9"/>
    <s v="Priya Nair"/>
    <s v="Cloud"/>
    <x v="3"/>
    <n v="193"/>
    <n v="430197"/>
  </r>
  <r>
    <x v="153"/>
    <x v="5"/>
    <s v="Priya Nair"/>
    <s v="Marketing"/>
    <x v="0"/>
    <n v="123"/>
    <n v="161745"/>
  </r>
  <r>
    <x v="143"/>
    <x v="2"/>
    <s v="Priya Nair"/>
    <s v="IT"/>
    <x v="2"/>
    <n v="323"/>
    <n v="2520369"/>
  </r>
  <r>
    <x v="149"/>
    <x v="6"/>
    <s v="Priya Nair"/>
    <s v="Development"/>
    <x v="8"/>
    <n v="106"/>
    <n v="244012"/>
  </r>
  <r>
    <x v="65"/>
    <x v="2"/>
    <s v="Priya Nair"/>
    <s v="Marketing"/>
    <x v="0"/>
    <n v="495"/>
    <n v="1301355"/>
  </r>
  <r>
    <x v="31"/>
    <x v="1"/>
    <s v="Sneha Kapoor"/>
    <s v="Marketing"/>
    <x v="4"/>
    <n v="422"/>
    <n v="2887746"/>
  </r>
  <r>
    <x v="61"/>
    <x v="0"/>
    <s v="Rahul Sharma"/>
    <s v="Cloud"/>
    <x v="8"/>
    <n v="213"/>
    <n v="370407"/>
  </r>
  <r>
    <x v="146"/>
    <x v="2"/>
    <s v="Karan Mehta"/>
    <s v="Marketing"/>
    <x v="5"/>
    <n v="187"/>
    <n v="533511"/>
  </r>
  <r>
    <x v="239"/>
    <x v="1"/>
    <s v="Karan Mehta"/>
    <s v="IT"/>
    <x v="7"/>
    <n v="129"/>
    <n v="857076"/>
  </r>
  <r>
    <x v="34"/>
    <x v="0"/>
    <s v="Vikas Singh"/>
    <s v="Data Science"/>
    <x v="9"/>
    <n v="103"/>
    <n v="660539"/>
  </r>
  <r>
    <x v="240"/>
    <x v="0"/>
    <s v="Priya Nair"/>
    <s v="Management"/>
    <x v="8"/>
    <n v="182"/>
    <n v="892892"/>
  </r>
  <r>
    <x v="241"/>
    <x v="7"/>
    <s v="Sneha Kapoor"/>
    <s v="Cloud"/>
    <x v="3"/>
    <n v="11"/>
    <n v="38676"/>
  </r>
  <r>
    <x v="242"/>
    <x v="1"/>
    <s v="Anjali Rao"/>
    <s v="Development"/>
    <x v="2"/>
    <n v="85"/>
    <n v="142375"/>
  </r>
  <r>
    <x v="243"/>
    <x v="3"/>
    <s v="Rahul Sharma"/>
    <s v="Cloud"/>
    <x v="6"/>
    <n v="349"/>
    <n v="2697421"/>
  </r>
  <r>
    <x v="96"/>
    <x v="4"/>
    <s v="Karan Mehta"/>
    <s v="Development"/>
    <x v="2"/>
    <n v="106"/>
    <n v="287790"/>
  </r>
  <r>
    <x v="174"/>
    <x v="1"/>
    <s v="Amit Verma"/>
    <s v="Security"/>
    <x v="8"/>
    <n v="457"/>
    <n v="2293226"/>
  </r>
  <r>
    <x v="98"/>
    <x v="3"/>
    <s v="Neha Joshi"/>
    <s v="Development"/>
    <x v="3"/>
    <n v="443"/>
    <n v="2064823"/>
  </r>
  <r>
    <x v="14"/>
    <x v="9"/>
    <s v="Neha Joshi"/>
    <s v="Marketing"/>
    <x v="9"/>
    <n v="359"/>
    <n v="999815"/>
  </r>
  <r>
    <x v="244"/>
    <x v="1"/>
    <s v="Neha Joshi"/>
    <s v="IT"/>
    <x v="4"/>
    <n v="97"/>
    <n v="518368"/>
  </r>
  <r>
    <x v="62"/>
    <x v="7"/>
    <s v="Sneha Kapoor"/>
    <s v="Security"/>
    <x v="7"/>
    <n v="23"/>
    <n v="133584"/>
  </r>
  <r>
    <x v="130"/>
    <x v="2"/>
    <s v="Vikas Singh"/>
    <s v="Data Science"/>
    <x v="0"/>
    <n v="443"/>
    <n v="1732573"/>
  </r>
  <r>
    <x v="157"/>
    <x v="0"/>
    <s v="Priya Nair"/>
    <s v="Cloud"/>
    <x v="5"/>
    <n v="476"/>
    <n v="3302488"/>
  </r>
  <r>
    <x v="245"/>
    <x v="0"/>
    <s v="Anjali Rao"/>
    <s v="Cloud"/>
    <x v="5"/>
    <n v="444"/>
    <n v="2202684"/>
  </r>
  <r>
    <x v="246"/>
    <x v="5"/>
    <s v="Karan Mehta"/>
    <s v="Data Science"/>
    <x v="8"/>
    <n v="42"/>
    <n v="245280"/>
  </r>
  <r>
    <x v="247"/>
    <x v="6"/>
    <s v="Amit Verma"/>
    <s v="IT"/>
    <x v="1"/>
    <n v="395"/>
    <n v="1986455"/>
  </r>
  <r>
    <x v="248"/>
    <x v="2"/>
    <s v="Sneha Kapoor"/>
    <s v="Management"/>
    <x v="3"/>
    <n v="465"/>
    <n v="3334515"/>
  </r>
  <r>
    <x v="80"/>
    <x v="1"/>
    <s v="Rahul Sharma"/>
    <s v="IT"/>
    <x v="6"/>
    <n v="497"/>
    <n v="911498"/>
  </r>
  <r>
    <x v="154"/>
    <x v="1"/>
    <s v="Neha Joshi"/>
    <s v="Security"/>
    <x v="7"/>
    <n v="134"/>
    <n v="390744"/>
  </r>
  <r>
    <x v="107"/>
    <x v="5"/>
    <s v="Karan Mehta"/>
    <s v="Cloud"/>
    <x v="9"/>
    <n v="339"/>
    <n v="1643811"/>
  </r>
  <r>
    <x v="249"/>
    <x v="3"/>
    <s v="Priya Nair"/>
    <s v="Cloud"/>
    <x v="1"/>
    <n v="138"/>
    <n v="167532"/>
  </r>
  <r>
    <x v="39"/>
    <x v="9"/>
    <s v="Rahul Sharma"/>
    <s v="Marketing"/>
    <x v="5"/>
    <n v="155"/>
    <n v="225835"/>
  </r>
  <r>
    <x v="250"/>
    <x v="7"/>
    <s v="Amit Verma"/>
    <s v="Cloud"/>
    <x v="3"/>
    <n v="480"/>
    <n v="606720"/>
  </r>
  <r>
    <x v="251"/>
    <x v="5"/>
    <s v="Karan Mehta"/>
    <s v="Development"/>
    <x v="5"/>
    <n v="387"/>
    <n v="851013"/>
  </r>
  <r>
    <x v="252"/>
    <x v="0"/>
    <s v="Priya Nair"/>
    <s v="Security"/>
    <x v="2"/>
    <n v="300"/>
    <n v="1960200"/>
  </r>
  <r>
    <x v="52"/>
    <x v="2"/>
    <s v="Neha Joshi"/>
    <s v="Development"/>
    <x v="2"/>
    <n v="327"/>
    <n v="338772"/>
  </r>
  <r>
    <x v="200"/>
    <x v="8"/>
    <s v="Sneha Kapoor"/>
    <s v="Management"/>
    <x v="0"/>
    <n v="451"/>
    <n v="3152039"/>
  </r>
  <r>
    <x v="253"/>
    <x v="1"/>
    <s v="Amit Verma"/>
    <s v="IT"/>
    <x v="5"/>
    <n v="236"/>
    <n v="489228"/>
  </r>
  <r>
    <x v="74"/>
    <x v="5"/>
    <s v="Karan Mehta"/>
    <s v="Cloud"/>
    <x v="0"/>
    <n v="172"/>
    <n v="427936"/>
  </r>
  <r>
    <x v="214"/>
    <x v="9"/>
    <s v="Rahul Sharma"/>
    <s v="Development"/>
    <x v="0"/>
    <n v="463"/>
    <n v="1188984"/>
  </r>
  <r>
    <x v="33"/>
    <x v="0"/>
    <s v="Amit Verma"/>
    <s v="Management"/>
    <x v="0"/>
    <n v="96"/>
    <n v="560160"/>
  </r>
  <r>
    <x v="9"/>
    <x v="0"/>
    <s v="Neha Joshi"/>
    <s v="Management"/>
    <x v="4"/>
    <n v="72"/>
    <n v="170856"/>
  </r>
  <r>
    <x v="101"/>
    <x v="5"/>
    <s v="Amit Verma"/>
    <s v="Cloud"/>
    <x v="6"/>
    <n v="10"/>
    <n v="39960"/>
  </r>
  <r>
    <x v="254"/>
    <x v="4"/>
    <s v="Sneha Kapoor"/>
    <s v="Data Science"/>
    <x v="5"/>
    <n v="196"/>
    <n v="743428"/>
  </r>
  <r>
    <x v="12"/>
    <x v="3"/>
    <s v="Karan Mehta"/>
    <s v="Development"/>
    <x v="5"/>
    <n v="118"/>
    <n v="598378"/>
  </r>
  <r>
    <x v="72"/>
    <x v="7"/>
    <s v="Neha Joshi"/>
    <s v="Data Science"/>
    <x v="2"/>
    <n v="299"/>
    <n v="2159677"/>
  </r>
  <r>
    <x v="47"/>
    <x v="9"/>
    <s v="Rahul Sharma"/>
    <s v="Development"/>
    <x v="8"/>
    <n v="65"/>
    <n v="255060"/>
  </r>
  <r>
    <x v="108"/>
    <x v="1"/>
    <s v="Vikas Singh"/>
    <s v="Cloud"/>
    <x v="9"/>
    <n v="90"/>
    <n v="646380"/>
  </r>
  <r>
    <x v="240"/>
    <x v="9"/>
    <s v="Anjali Rao"/>
    <s v="Cloud"/>
    <x v="2"/>
    <n v="138"/>
    <n v="556002"/>
  </r>
  <r>
    <x v="255"/>
    <x v="7"/>
    <s v="Sneha Kapoor"/>
    <s v="IT"/>
    <x v="0"/>
    <n v="417"/>
    <n v="2729265"/>
  </r>
  <r>
    <x v="221"/>
    <x v="5"/>
    <s v="Rahul Sharma"/>
    <s v="Development"/>
    <x v="7"/>
    <n v="48"/>
    <n v="98928"/>
  </r>
  <r>
    <x v="42"/>
    <x v="0"/>
    <s v="Neha Joshi"/>
    <s v="Cloud"/>
    <x v="9"/>
    <n v="74"/>
    <n v="404336"/>
  </r>
  <r>
    <x v="45"/>
    <x v="9"/>
    <s v="Priya Nair"/>
    <s v="Marketing"/>
    <x v="9"/>
    <n v="253"/>
    <n v="669944"/>
  </r>
  <r>
    <x v="61"/>
    <x v="8"/>
    <s v="Sneha Kapoor"/>
    <s v="Data Science"/>
    <x v="1"/>
    <n v="318"/>
    <n v="1354680"/>
  </r>
  <r>
    <x v="57"/>
    <x v="3"/>
    <s v="Neha Joshi"/>
    <s v="IT"/>
    <x v="5"/>
    <n v="131"/>
    <n v="145410"/>
  </r>
  <r>
    <x v="32"/>
    <x v="6"/>
    <s v="Karan Mehta"/>
    <s v="Management"/>
    <x v="3"/>
    <n v="42"/>
    <n v="166152"/>
  </r>
  <r>
    <x v="46"/>
    <x v="3"/>
    <s v="Vikas Singh"/>
    <s v="Data Science"/>
    <x v="1"/>
    <n v="499"/>
    <n v="2399691"/>
  </r>
  <r>
    <x v="240"/>
    <x v="0"/>
    <s v="Anjali Rao"/>
    <s v="IT"/>
    <x v="2"/>
    <n v="187"/>
    <n v="549780"/>
  </r>
  <r>
    <x v="254"/>
    <x v="3"/>
    <s v="Amit Verma"/>
    <s v="Data Science"/>
    <x v="7"/>
    <n v="374"/>
    <n v="766326"/>
  </r>
  <r>
    <x v="256"/>
    <x v="7"/>
    <s v="Rahul Sharma"/>
    <s v="Cloud"/>
    <x v="1"/>
    <n v="180"/>
    <n v="1206900"/>
  </r>
  <r>
    <x v="13"/>
    <x v="4"/>
    <s v="Karan Mehta"/>
    <s v="Data Science"/>
    <x v="4"/>
    <n v="412"/>
    <n v="1937224"/>
  </r>
  <r>
    <x v="163"/>
    <x v="5"/>
    <s v="Anjali Rao"/>
    <s v="Marketing"/>
    <x v="8"/>
    <n v="435"/>
    <n v="2145855"/>
  </r>
  <r>
    <x v="196"/>
    <x v="9"/>
    <s v="Karan Mehta"/>
    <s v="Development"/>
    <x v="0"/>
    <n v="130"/>
    <n v="318890"/>
  </r>
  <r>
    <x v="257"/>
    <x v="1"/>
    <s v="Priya Nair"/>
    <s v="Development"/>
    <x v="1"/>
    <n v="14"/>
    <n v="83622"/>
  </r>
  <r>
    <x v="134"/>
    <x v="6"/>
    <s v="Neha Joshi"/>
    <s v="Data Science"/>
    <x v="4"/>
    <n v="103"/>
    <n v="558981"/>
  </r>
  <r>
    <x v="258"/>
    <x v="8"/>
    <s v="Neha Joshi"/>
    <s v="IT"/>
    <x v="3"/>
    <n v="138"/>
    <n v="818892"/>
  </r>
  <r>
    <x v="33"/>
    <x v="8"/>
    <s v="Sneha Kapoor"/>
    <s v="Development"/>
    <x v="3"/>
    <n v="263"/>
    <n v="1650588"/>
  </r>
  <r>
    <x v="200"/>
    <x v="6"/>
    <s v="Rahul Sharma"/>
    <s v="Management"/>
    <x v="3"/>
    <n v="257"/>
    <n v="1166523"/>
  </r>
  <r>
    <x v="212"/>
    <x v="3"/>
    <s v="Sneha Kapoor"/>
    <s v="IT"/>
    <x v="6"/>
    <n v="387"/>
    <n v="988785"/>
  </r>
  <r>
    <x v="208"/>
    <x v="0"/>
    <s v="Anjali Rao"/>
    <s v="Security"/>
    <x v="4"/>
    <n v="368"/>
    <n v="1448080"/>
  </r>
  <r>
    <x v="259"/>
    <x v="7"/>
    <s v="Neha Joshi"/>
    <s v="Data Science"/>
    <x v="0"/>
    <n v="32"/>
    <n v="77376"/>
  </r>
  <r>
    <x v="260"/>
    <x v="4"/>
    <s v="Priya Nair"/>
    <s v="Data Science"/>
    <x v="1"/>
    <n v="172"/>
    <n v="847788"/>
  </r>
  <r>
    <x v="261"/>
    <x v="5"/>
    <s v="Rahul Sharma"/>
    <s v="Development"/>
    <x v="1"/>
    <n v="292"/>
    <n v="1169752"/>
  </r>
  <r>
    <x v="226"/>
    <x v="8"/>
    <s v="Karan Mehta"/>
    <s v="Security"/>
    <x v="0"/>
    <n v="174"/>
    <n v="1027296"/>
  </r>
  <r>
    <x v="236"/>
    <x v="4"/>
    <s v="Vikas Singh"/>
    <s v="Marketing"/>
    <x v="1"/>
    <n v="479"/>
    <n v="1284678"/>
  </r>
  <r>
    <x v="16"/>
    <x v="6"/>
    <s v="Priya Nair"/>
    <s v="Security"/>
    <x v="3"/>
    <n v="128"/>
    <n v="217856"/>
  </r>
  <r>
    <x v="84"/>
    <x v="2"/>
    <s v="Vikas Singh"/>
    <s v="Marketing"/>
    <x v="5"/>
    <n v="378"/>
    <n v="774522"/>
  </r>
  <r>
    <x v="262"/>
    <x v="6"/>
    <s v="Rahul Sharma"/>
    <s v="IT"/>
    <x v="0"/>
    <n v="420"/>
    <n v="1805160"/>
  </r>
  <r>
    <x v="60"/>
    <x v="1"/>
    <s v="Anjali Rao"/>
    <s v="Cloud"/>
    <x v="5"/>
    <n v="270"/>
    <n v="492750"/>
  </r>
  <r>
    <x v="207"/>
    <x v="5"/>
    <s v="Amit Verma"/>
    <s v="Development"/>
    <x v="8"/>
    <n v="168"/>
    <n v="1070160"/>
  </r>
  <r>
    <x v="167"/>
    <x v="5"/>
    <s v="Sneha Kapoor"/>
    <s v="IT"/>
    <x v="0"/>
    <n v="122"/>
    <n v="500688"/>
  </r>
  <r>
    <x v="0"/>
    <x v="8"/>
    <s v="Karan Mehta"/>
    <s v="Data Science"/>
    <x v="0"/>
    <n v="374"/>
    <n v="1218866"/>
  </r>
  <r>
    <x v="113"/>
    <x v="9"/>
    <s v="Karan Mehta"/>
    <s v="Security"/>
    <x v="4"/>
    <n v="310"/>
    <n v="1816910"/>
  </r>
  <r>
    <x v="263"/>
    <x v="3"/>
    <s v="Amit Verma"/>
    <s v="Management"/>
    <x v="4"/>
    <n v="424"/>
    <n v="3216040"/>
  </r>
  <r>
    <x v="159"/>
    <x v="8"/>
    <s v="Vikas Singh"/>
    <s v="Data Science"/>
    <x v="7"/>
    <n v="189"/>
    <n v="1496124"/>
  </r>
  <r>
    <x v="198"/>
    <x v="3"/>
    <s v="Karan Mehta"/>
    <s v="Management"/>
    <x v="6"/>
    <n v="330"/>
    <n v="2239710"/>
  </r>
  <r>
    <x v="21"/>
    <x v="6"/>
    <s v="Sneha Kapoor"/>
    <s v="Development"/>
    <x v="7"/>
    <n v="453"/>
    <n v="2833968"/>
  </r>
  <r>
    <x v="3"/>
    <x v="3"/>
    <s v="Rahul Sharma"/>
    <s v="Marketing"/>
    <x v="8"/>
    <n v="151"/>
    <n v="1061530"/>
  </r>
  <r>
    <x v="201"/>
    <x v="3"/>
    <s v="Sneha Kapoor"/>
    <s v="Cloud"/>
    <x v="5"/>
    <n v="161"/>
    <n v="1221990"/>
  </r>
  <r>
    <x v="19"/>
    <x v="9"/>
    <s v="Karan Mehta"/>
    <s v="Marketing"/>
    <x v="6"/>
    <n v="133"/>
    <n v="461244"/>
  </r>
  <r>
    <x v="56"/>
    <x v="1"/>
    <s v="Priya Nair"/>
    <s v="Security"/>
    <x v="6"/>
    <n v="354"/>
    <n v="1320420"/>
  </r>
  <r>
    <x v="217"/>
    <x v="4"/>
    <s v="Anjali Rao"/>
    <s v="Security"/>
    <x v="0"/>
    <n v="67"/>
    <n v="1417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Vikas Singh"/>
    <x v="0"/>
    <x v="0"/>
    <n v="307"/>
    <n v="523742"/>
  </r>
  <r>
    <x v="1"/>
    <x v="1"/>
    <s v="Sneha Kapoor"/>
    <x v="1"/>
    <x v="1"/>
    <n v="236"/>
    <n v="249924"/>
  </r>
  <r>
    <x v="2"/>
    <x v="2"/>
    <s v="Priya Nair"/>
    <x v="2"/>
    <x v="2"/>
    <n v="62"/>
    <n v="215326"/>
  </r>
  <r>
    <x v="3"/>
    <x v="3"/>
    <s v="Rahul Sharma"/>
    <x v="3"/>
    <x v="0"/>
    <n v="467"/>
    <n v="3370339"/>
  </r>
  <r>
    <x v="4"/>
    <x v="1"/>
    <s v="Sneha Kapoor"/>
    <x v="2"/>
    <x v="3"/>
    <n v="88"/>
    <n v="346544"/>
  </r>
  <r>
    <x v="5"/>
    <x v="4"/>
    <s v="Vikas Singh"/>
    <x v="0"/>
    <x v="4"/>
    <n v="274"/>
    <n v="1713596"/>
  </r>
  <r>
    <x v="6"/>
    <x v="1"/>
    <s v="Priya Nair"/>
    <x v="2"/>
    <x v="0"/>
    <n v="168"/>
    <n v="1137864"/>
  </r>
  <r>
    <x v="7"/>
    <x v="5"/>
    <s v="Neha Joshi"/>
    <x v="2"/>
    <x v="5"/>
    <n v="65"/>
    <n v="420225"/>
  </r>
  <r>
    <x v="8"/>
    <x v="6"/>
    <s v="Neha Joshi"/>
    <x v="4"/>
    <x v="4"/>
    <n v="268"/>
    <n v="2102192"/>
  </r>
  <r>
    <x v="9"/>
    <x v="7"/>
    <s v="Anjali Rao"/>
    <x v="3"/>
    <x v="6"/>
    <n v="261"/>
    <n v="1669356"/>
  </r>
  <r>
    <x v="10"/>
    <x v="1"/>
    <s v="Anjali Rao"/>
    <x v="0"/>
    <x v="5"/>
    <n v="250"/>
    <n v="872500"/>
  </r>
  <r>
    <x v="11"/>
    <x v="6"/>
    <s v="Anjali Rao"/>
    <x v="5"/>
    <x v="3"/>
    <n v="413"/>
    <n v="1110144"/>
  </r>
  <r>
    <x v="12"/>
    <x v="4"/>
    <s v="Anjali Rao"/>
    <x v="4"/>
    <x v="5"/>
    <n v="456"/>
    <n v="2041056"/>
  </r>
  <r>
    <x v="13"/>
    <x v="4"/>
    <s v="Anjali Rao"/>
    <x v="1"/>
    <x v="0"/>
    <n v="361"/>
    <n v="992389"/>
  </r>
  <r>
    <x v="14"/>
    <x v="2"/>
    <s v="Rahul Sharma"/>
    <x v="2"/>
    <x v="7"/>
    <n v="315"/>
    <n v="1207395"/>
  </r>
  <r>
    <x v="15"/>
    <x v="5"/>
    <s v="Neha Joshi"/>
    <x v="1"/>
    <x v="6"/>
    <n v="55"/>
    <n v="169785"/>
  </r>
  <r>
    <x v="16"/>
    <x v="4"/>
    <s v="Amit Verma"/>
    <x v="0"/>
    <x v="7"/>
    <n v="275"/>
    <n v="890725"/>
  </r>
  <r>
    <x v="17"/>
    <x v="0"/>
    <s v="Priya Nair"/>
    <x v="4"/>
    <x v="7"/>
    <n v="91"/>
    <n v="550186"/>
  </r>
  <r>
    <x v="18"/>
    <x v="0"/>
    <s v="Rahul Sharma"/>
    <x v="2"/>
    <x v="3"/>
    <n v="25"/>
    <n v="173475"/>
  </r>
  <r>
    <x v="19"/>
    <x v="2"/>
    <s v="Sneha Kapoor"/>
    <x v="6"/>
    <x v="8"/>
    <n v="431"/>
    <n v="826658"/>
  </r>
  <r>
    <x v="20"/>
    <x v="8"/>
    <s v="Sneha Kapoor"/>
    <x v="5"/>
    <x v="7"/>
    <n v="81"/>
    <n v="303264"/>
  </r>
  <r>
    <x v="21"/>
    <x v="8"/>
    <s v="Anjali Rao"/>
    <x v="0"/>
    <x v="4"/>
    <n v="452"/>
    <n v="979484"/>
  </r>
  <r>
    <x v="22"/>
    <x v="5"/>
    <s v="Anjali Rao"/>
    <x v="5"/>
    <x v="2"/>
    <n v="80"/>
    <n v="421200"/>
  </r>
  <r>
    <x v="23"/>
    <x v="0"/>
    <s v="Neha Joshi"/>
    <x v="2"/>
    <x v="6"/>
    <n v="277"/>
    <n v="1889694"/>
  </r>
  <r>
    <x v="24"/>
    <x v="9"/>
    <s v="Rahul Sharma"/>
    <x v="5"/>
    <x v="2"/>
    <n v="136"/>
    <n v="516664"/>
  </r>
  <r>
    <x v="25"/>
    <x v="7"/>
    <s v="Sneha Kapoor"/>
    <x v="5"/>
    <x v="0"/>
    <n v="307"/>
    <n v="1472679"/>
  </r>
  <r>
    <x v="26"/>
    <x v="9"/>
    <s v="Priya Nair"/>
    <x v="3"/>
    <x v="9"/>
    <n v="211"/>
    <n v="636798"/>
  </r>
  <r>
    <x v="27"/>
    <x v="6"/>
    <s v="Priya Nair"/>
    <x v="2"/>
    <x v="8"/>
    <n v="19"/>
    <n v="109668"/>
  </r>
  <r>
    <x v="28"/>
    <x v="7"/>
    <s v="Amit Verma"/>
    <x v="1"/>
    <x v="4"/>
    <n v="233"/>
    <n v="283328"/>
  </r>
  <r>
    <x v="29"/>
    <x v="1"/>
    <s v="Amit Verma"/>
    <x v="2"/>
    <x v="4"/>
    <n v="130"/>
    <n v="582660"/>
  </r>
  <r>
    <x v="30"/>
    <x v="1"/>
    <s v="Neha Joshi"/>
    <x v="0"/>
    <x v="6"/>
    <n v="115"/>
    <n v="271400"/>
  </r>
  <r>
    <x v="31"/>
    <x v="9"/>
    <s v="Neha Joshi"/>
    <x v="1"/>
    <x v="2"/>
    <n v="145"/>
    <n v="258390"/>
  </r>
  <r>
    <x v="32"/>
    <x v="5"/>
    <s v="Rahul Sharma"/>
    <x v="1"/>
    <x v="7"/>
    <n v="274"/>
    <n v="1859638"/>
  </r>
  <r>
    <x v="33"/>
    <x v="1"/>
    <s v="Priya Nair"/>
    <x v="3"/>
    <x v="0"/>
    <n v="101"/>
    <n v="466317"/>
  </r>
  <r>
    <x v="34"/>
    <x v="8"/>
    <s v="Amit Verma"/>
    <x v="0"/>
    <x v="4"/>
    <n v="263"/>
    <n v="1014128"/>
  </r>
  <r>
    <x v="35"/>
    <x v="9"/>
    <s v="Rahul Sharma"/>
    <x v="3"/>
    <x v="0"/>
    <n v="459"/>
    <n v="2003076"/>
  </r>
  <r>
    <x v="27"/>
    <x v="9"/>
    <s v="Rahul Sharma"/>
    <x v="3"/>
    <x v="5"/>
    <n v="140"/>
    <n v="1069740"/>
  </r>
  <r>
    <x v="36"/>
    <x v="9"/>
    <s v="Priya Nair"/>
    <x v="0"/>
    <x v="0"/>
    <n v="167"/>
    <n v="1087337"/>
  </r>
  <r>
    <x v="23"/>
    <x v="0"/>
    <s v="Anjali Rao"/>
    <x v="0"/>
    <x v="6"/>
    <n v="189"/>
    <n v="322434"/>
  </r>
  <r>
    <x v="37"/>
    <x v="0"/>
    <s v="Neha Joshi"/>
    <x v="5"/>
    <x v="6"/>
    <n v="236"/>
    <n v="778564"/>
  </r>
  <r>
    <x v="38"/>
    <x v="6"/>
    <s v="Rahul Sharma"/>
    <x v="5"/>
    <x v="6"/>
    <n v="316"/>
    <n v="605772"/>
  </r>
  <r>
    <x v="39"/>
    <x v="6"/>
    <s v="Neha Joshi"/>
    <x v="5"/>
    <x v="4"/>
    <n v="378"/>
    <n v="1468152"/>
  </r>
  <r>
    <x v="40"/>
    <x v="8"/>
    <s v="Anjali Rao"/>
    <x v="2"/>
    <x v="3"/>
    <n v="425"/>
    <n v="1629875"/>
  </r>
  <r>
    <x v="41"/>
    <x v="8"/>
    <s v="Amit Verma"/>
    <x v="3"/>
    <x v="4"/>
    <n v="36"/>
    <n v="260424"/>
  </r>
  <r>
    <x v="11"/>
    <x v="3"/>
    <s v="Amit Verma"/>
    <x v="3"/>
    <x v="7"/>
    <n v="60"/>
    <n v="433140"/>
  </r>
  <r>
    <x v="42"/>
    <x v="5"/>
    <s v="Vikas Singh"/>
    <x v="6"/>
    <x v="9"/>
    <n v="212"/>
    <n v="834644"/>
  </r>
  <r>
    <x v="43"/>
    <x v="9"/>
    <s v="Rahul Sharma"/>
    <x v="4"/>
    <x v="5"/>
    <n v="477"/>
    <n v="2021526"/>
  </r>
  <r>
    <x v="44"/>
    <x v="1"/>
    <s v="Sneha Kapoor"/>
    <x v="0"/>
    <x v="9"/>
    <n v="269"/>
    <n v="1449641"/>
  </r>
  <r>
    <x v="45"/>
    <x v="4"/>
    <s v="Rahul Sharma"/>
    <x v="5"/>
    <x v="3"/>
    <n v="475"/>
    <n v="1677225"/>
  </r>
  <r>
    <x v="46"/>
    <x v="0"/>
    <s v="Anjali Rao"/>
    <x v="0"/>
    <x v="7"/>
    <n v="444"/>
    <n v="1018980"/>
  </r>
  <r>
    <x v="47"/>
    <x v="0"/>
    <s v="Karan Mehta"/>
    <x v="1"/>
    <x v="6"/>
    <n v="456"/>
    <n v="2339280"/>
  </r>
  <r>
    <x v="48"/>
    <x v="7"/>
    <s v="Karan Mehta"/>
    <x v="6"/>
    <x v="7"/>
    <n v="44"/>
    <n v="347908"/>
  </r>
  <r>
    <x v="49"/>
    <x v="5"/>
    <s v="Priya Nair"/>
    <x v="5"/>
    <x v="2"/>
    <n v="181"/>
    <n v="1220664"/>
  </r>
  <r>
    <x v="50"/>
    <x v="4"/>
    <s v="Amit Verma"/>
    <x v="2"/>
    <x v="1"/>
    <n v="451"/>
    <n v="648989"/>
  </r>
  <r>
    <x v="51"/>
    <x v="7"/>
    <s v="Karan Mehta"/>
    <x v="0"/>
    <x v="5"/>
    <n v="14"/>
    <n v="102522"/>
  </r>
  <r>
    <x v="52"/>
    <x v="5"/>
    <s v="Anjali Rao"/>
    <x v="2"/>
    <x v="3"/>
    <n v="205"/>
    <n v="1154765"/>
  </r>
  <r>
    <x v="53"/>
    <x v="1"/>
    <s v="Amit Verma"/>
    <x v="1"/>
    <x v="1"/>
    <n v="302"/>
    <n v="2300334"/>
  </r>
  <r>
    <x v="54"/>
    <x v="7"/>
    <s v="Amit Verma"/>
    <x v="6"/>
    <x v="5"/>
    <n v="13"/>
    <n v="56732"/>
  </r>
  <r>
    <x v="55"/>
    <x v="8"/>
    <s v="Priya Nair"/>
    <x v="6"/>
    <x v="7"/>
    <n v="196"/>
    <n v="481964"/>
  </r>
  <r>
    <x v="56"/>
    <x v="8"/>
    <s v="Vikas Singh"/>
    <x v="5"/>
    <x v="7"/>
    <n v="326"/>
    <n v="2137908"/>
  </r>
  <r>
    <x v="57"/>
    <x v="3"/>
    <s v="Priya Nair"/>
    <x v="0"/>
    <x v="5"/>
    <n v="140"/>
    <n v="299740"/>
  </r>
  <r>
    <x v="51"/>
    <x v="2"/>
    <s v="Priya Nair"/>
    <x v="6"/>
    <x v="7"/>
    <n v="144"/>
    <n v="288720"/>
  </r>
  <r>
    <x v="29"/>
    <x v="2"/>
    <s v="Rahul Sharma"/>
    <x v="5"/>
    <x v="2"/>
    <n v="99"/>
    <n v="533610"/>
  </r>
  <r>
    <x v="58"/>
    <x v="1"/>
    <s v="Priya Nair"/>
    <x v="0"/>
    <x v="0"/>
    <n v="263"/>
    <n v="409754"/>
  </r>
  <r>
    <x v="59"/>
    <x v="8"/>
    <s v="Neha Joshi"/>
    <x v="0"/>
    <x v="1"/>
    <n v="160"/>
    <n v="1029280"/>
  </r>
  <r>
    <x v="60"/>
    <x v="2"/>
    <s v="Karan Mehta"/>
    <x v="3"/>
    <x v="8"/>
    <n v="305"/>
    <n v="1870260"/>
  </r>
  <r>
    <x v="60"/>
    <x v="7"/>
    <s v="Karan Mehta"/>
    <x v="5"/>
    <x v="7"/>
    <n v="243"/>
    <n v="560115"/>
  </r>
  <r>
    <x v="61"/>
    <x v="5"/>
    <s v="Amit Verma"/>
    <x v="1"/>
    <x v="8"/>
    <n v="296"/>
    <n v="805712"/>
  </r>
  <r>
    <x v="62"/>
    <x v="8"/>
    <s v="Priya Nair"/>
    <x v="3"/>
    <x v="7"/>
    <n v="211"/>
    <n v="861302"/>
  </r>
  <r>
    <x v="5"/>
    <x v="1"/>
    <s v="Anjali Rao"/>
    <x v="6"/>
    <x v="5"/>
    <n v="254"/>
    <n v="1672082"/>
  </r>
  <r>
    <x v="63"/>
    <x v="9"/>
    <s v="Karan Mehta"/>
    <x v="2"/>
    <x v="1"/>
    <n v="346"/>
    <n v="2716792"/>
  </r>
  <r>
    <x v="64"/>
    <x v="0"/>
    <s v="Vikas Singh"/>
    <x v="3"/>
    <x v="6"/>
    <n v="12"/>
    <n v="49824"/>
  </r>
  <r>
    <x v="15"/>
    <x v="0"/>
    <s v="Sneha Kapoor"/>
    <x v="1"/>
    <x v="9"/>
    <n v="52"/>
    <n v="332488"/>
  </r>
  <r>
    <x v="60"/>
    <x v="8"/>
    <s v="Rahul Sharma"/>
    <x v="2"/>
    <x v="0"/>
    <n v="225"/>
    <n v="917100"/>
  </r>
  <r>
    <x v="9"/>
    <x v="6"/>
    <s v="Karan Mehta"/>
    <x v="2"/>
    <x v="9"/>
    <n v="266"/>
    <n v="900676"/>
  </r>
  <r>
    <x v="65"/>
    <x v="9"/>
    <s v="Anjali Rao"/>
    <x v="3"/>
    <x v="3"/>
    <n v="123"/>
    <n v="310575"/>
  </r>
  <r>
    <x v="66"/>
    <x v="8"/>
    <s v="Karan Mehta"/>
    <x v="1"/>
    <x v="5"/>
    <n v="191"/>
    <n v="328711"/>
  </r>
  <r>
    <x v="67"/>
    <x v="3"/>
    <s v="Neha Joshi"/>
    <x v="1"/>
    <x v="9"/>
    <n v="408"/>
    <n v="1326408"/>
  </r>
  <r>
    <x v="68"/>
    <x v="9"/>
    <s v="Priya Nair"/>
    <x v="1"/>
    <x v="4"/>
    <n v="292"/>
    <n v="815264"/>
  </r>
  <r>
    <x v="52"/>
    <x v="4"/>
    <s v="Vikas Singh"/>
    <x v="3"/>
    <x v="7"/>
    <n v="280"/>
    <n v="1238440"/>
  </r>
  <r>
    <x v="69"/>
    <x v="2"/>
    <s v="Rahul Sharma"/>
    <x v="0"/>
    <x v="2"/>
    <n v="60"/>
    <n v="407940"/>
  </r>
  <r>
    <x v="12"/>
    <x v="6"/>
    <s v="Rahul Sharma"/>
    <x v="6"/>
    <x v="3"/>
    <n v="313"/>
    <n v="1708667"/>
  </r>
  <r>
    <x v="41"/>
    <x v="7"/>
    <s v="Karan Mehta"/>
    <x v="1"/>
    <x v="3"/>
    <n v="172"/>
    <n v="1276412"/>
  </r>
  <r>
    <x v="70"/>
    <x v="6"/>
    <s v="Neha Joshi"/>
    <x v="3"/>
    <x v="4"/>
    <n v="88"/>
    <n v="114048"/>
  </r>
  <r>
    <x v="71"/>
    <x v="6"/>
    <s v="Priya Nair"/>
    <x v="5"/>
    <x v="4"/>
    <n v="292"/>
    <n v="2144448"/>
  </r>
  <r>
    <x v="72"/>
    <x v="8"/>
    <s v="Amit Verma"/>
    <x v="6"/>
    <x v="8"/>
    <n v="159"/>
    <n v="717408"/>
  </r>
  <r>
    <x v="73"/>
    <x v="8"/>
    <s v="Vikas Singh"/>
    <x v="3"/>
    <x v="2"/>
    <n v="22"/>
    <n v="101552"/>
  </r>
  <r>
    <x v="74"/>
    <x v="4"/>
    <s v="Neha Joshi"/>
    <x v="3"/>
    <x v="7"/>
    <n v="440"/>
    <n v="3002560"/>
  </r>
  <r>
    <x v="75"/>
    <x v="9"/>
    <s v="Priya Nair"/>
    <x v="2"/>
    <x v="6"/>
    <n v="332"/>
    <n v="1086636"/>
  </r>
  <r>
    <x v="76"/>
    <x v="4"/>
    <s v="Vikas Singh"/>
    <x v="4"/>
    <x v="5"/>
    <n v="149"/>
    <n v="176714"/>
  </r>
  <r>
    <x v="77"/>
    <x v="0"/>
    <s v="Neha Joshi"/>
    <x v="1"/>
    <x v="6"/>
    <n v="93"/>
    <n v="364839"/>
  </r>
  <r>
    <x v="62"/>
    <x v="1"/>
    <s v="Sneha Kapoor"/>
    <x v="1"/>
    <x v="8"/>
    <n v="323"/>
    <n v="2351763"/>
  </r>
  <r>
    <x v="78"/>
    <x v="4"/>
    <s v="Sneha Kapoor"/>
    <x v="2"/>
    <x v="7"/>
    <n v="170"/>
    <n v="1188300"/>
  </r>
  <r>
    <x v="79"/>
    <x v="2"/>
    <s v="Karan Mehta"/>
    <x v="1"/>
    <x v="1"/>
    <n v="483"/>
    <n v="2887857"/>
  </r>
  <r>
    <x v="80"/>
    <x v="9"/>
    <s v="Amit Verma"/>
    <x v="1"/>
    <x v="9"/>
    <n v="438"/>
    <n v="2697642"/>
  </r>
  <r>
    <x v="81"/>
    <x v="9"/>
    <s v="Karan Mehta"/>
    <x v="5"/>
    <x v="7"/>
    <n v="472"/>
    <n v="3571624"/>
  </r>
  <r>
    <x v="82"/>
    <x v="5"/>
    <s v="Karan Mehta"/>
    <x v="2"/>
    <x v="4"/>
    <n v="430"/>
    <n v="2591180"/>
  </r>
  <r>
    <x v="83"/>
    <x v="4"/>
    <s v="Vikas Singh"/>
    <x v="0"/>
    <x v="4"/>
    <n v="342"/>
    <n v="2546874"/>
  </r>
  <r>
    <x v="84"/>
    <x v="9"/>
    <s v="Rahul Sharma"/>
    <x v="1"/>
    <x v="4"/>
    <n v="390"/>
    <n v="2200380"/>
  </r>
  <r>
    <x v="85"/>
    <x v="4"/>
    <s v="Vikas Singh"/>
    <x v="0"/>
    <x v="7"/>
    <n v="375"/>
    <n v="886125"/>
  </r>
  <r>
    <x v="86"/>
    <x v="9"/>
    <s v="Vikas Singh"/>
    <x v="0"/>
    <x v="0"/>
    <n v="373"/>
    <n v="1179426"/>
  </r>
  <r>
    <x v="87"/>
    <x v="2"/>
    <s v="Sneha Kapoor"/>
    <x v="6"/>
    <x v="0"/>
    <n v="402"/>
    <n v="949122"/>
  </r>
  <r>
    <x v="88"/>
    <x v="9"/>
    <s v="Amit Verma"/>
    <x v="0"/>
    <x v="1"/>
    <n v="40"/>
    <n v="284600"/>
  </r>
  <r>
    <x v="10"/>
    <x v="7"/>
    <s v="Karan Mehta"/>
    <x v="1"/>
    <x v="2"/>
    <n v="28"/>
    <n v="198744"/>
  </r>
  <r>
    <x v="30"/>
    <x v="8"/>
    <s v="Amit Verma"/>
    <x v="6"/>
    <x v="7"/>
    <n v="103"/>
    <n v="688555"/>
  </r>
  <r>
    <x v="89"/>
    <x v="1"/>
    <s v="Vikas Singh"/>
    <x v="0"/>
    <x v="0"/>
    <n v="85"/>
    <n v="192440"/>
  </r>
  <r>
    <x v="69"/>
    <x v="4"/>
    <s v="Rahul Sharma"/>
    <x v="6"/>
    <x v="5"/>
    <n v="128"/>
    <n v="266624"/>
  </r>
  <r>
    <x v="90"/>
    <x v="5"/>
    <s v="Rahul Sharma"/>
    <x v="4"/>
    <x v="4"/>
    <n v="196"/>
    <n v="749308"/>
  </r>
  <r>
    <x v="91"/>
    <x v="3"/>
    <s v="Priya Nair"/>
    <x v="6"/>
    <x v="3"/>
    <n v="143"/>
    <n v="405977"/>
  </r>
  <r>
    <x v="92"/>
    <x v="6"/>
    <s v="Vikas Singh"/>
    <x v="0"/>
    <x v="4"/>
    <n v="429"/>
    <n v="688116"/>
  </r>
  <r>
    <x v="93"/>
    <x v="0"/>
    <s v="Anjali Rao"/>
    <x v="5"/>
    <x v="4"/>
    <n v="314"/>
    <n v="1748666"/>
  </r>
  <r>
    <x v="94"/>
    <x v="6"/>
    <s v="Karan Mehta"/>
    <x v="3"/>
    <x v="3"/>
    <n v="498"/>
    <n v="2705136"/>
  </r>
  <r>
    <x v="95"/>
    <x v="5"/>
    <s v="Anjali Rao"/>
    <x v="3"/>
    <x v="9"/>
    <n v="303"/>
    <n v="1492578"/>
  </r>
  <r>
    <x v="96"/>
    <x v="3"/>
    <s v="Amit Verma"/>
    <x v="3"/>
    <x v="3"/>
    <n v="119"/>
    <n v="555016"/>
  </r>
  <r>
    <x v="97"/>
    <x v="6"/>
    <s v="Vikas Singh"/>
    <x v="4"/>
    <x v="7"/>
    <n v="27"/>
    <n v="135243"/>
  </r>
  <r>
    <x v="98"/>
    <x v="5"/>
    <s v="Neha Joshi"/>
    <x v="1"/>
    <x v="5"/>
    <n v="210"/>
    <n v="1454880"/>
  </r>
  <r>
    <x v="99"/>
    <x v="4"/>
    <s v="Sneha Kapoor"/>
    <x v="1"/>
    <x v="4"/>
    <n v="133"/>
    <n v="1037134"/>
  </r>
  <r>
    <x v="100"/>
    <x v="2"/>
    <s v="Priya Nair"/>
    <x v="0"/>
    <x v="8"/>
    <n v="17"/>
    <n v="103428"/>
  </r>
  <r>
    <x v="101"/>
    <x v="0"/>
    <s v="Priya Nair"/>
    <x v="0"/>
    <x v="0"/>
    <n v="114"/>
    <n v="125400"/>
  </r>
  <r>
    <x v="102"/>
    <x v="8"/>
    <s v="Rahul Sharma"/>
    <x v="6"/>
    <x v="2"/>
    <n v="145"/>
    <n v="918430"/>
  </r>
  <r>
    <x v="103"/>
    <x v="8"/>
    <s v="Rahul Sharma"/>
    <x v="6"/>
    <x v="6"/>
    <n v="476"/>
    <n v="3737552"/>
  </r>
  <r>
    <x v="104"/>
    <x v="7"/>
    <s v="Sneha Kapoor"/>
    <x v="3"/>
    <x v="7"/>
    <n v="274"/>
    <n v="1907040"/>
  </r>
  <r>
    <x v="105"/>
    <x v="6"/>
    <s v="Rahul Sharma"/>
    <x v="0"/>
    <x v="5"/>
    <n v="229"/>
    <n v="1479798"/>
  </r>
  <r>
    <x v="106"/>
    <x v="1"/>
    <s v="Rahul Sharma"/>
    <x v="3"/>
    <x v="5"/>
    <n v="11"/>
    <n v="27016"/>
  </r>
  <r>
    <x v="107"/>
    <x v="5"/>
    <s v="Amit Verma"/>
    <x v="2"/>
    <x v="1"/>
    <n v="170"/>
    <n v="406640"/>
  </r>
  <r>
    <x v="108"/>
    <x v="7"/>
    <s v="Rahul Sharma"/>
    <x v="2"/>
    <x v="2"/>
    <n v="469"/>
    <n v="1992312"/>
  </r>
  <r>
    <x v="109"/>
    <x v="3"/>
    <s v="Neha Joshi"/>
    <x v="1"/>
    <x v="9"/>
    <n v="394"/>
    <n v="3074382"/>
  </r>
  <r>
    <x v="110"/>
    <x v="9"/>
    <s v="Sneha Kapoor"/>
    <x v="1"/>
    <x v="0"/>
    <n v="113"/>
    <n v="721166"/>
  </r>
  <r>
    <x v="111"/>
    <x v="3"/>
    <s v="Rahul Sharma"/>
    <x v="6"/>
    <x v="8"/>
    <n v="190"/>
    <n v="576650"/>
  </r>
  <r>
    <x v="41"/>
    <x v="9"/>
    <s v="Karan Mehta"/>
    <x v="2"/>
    <x v="0"/>
    <n v="419"/>
    <n v="1786616"/>
  </r>
  <r>
    <x v="112"/>
    <x v="6"/>
    <s v="Amit Verma"/>
    <x v="1"/>
    <x v="3"/>
    <n v="20"/>
    <n v="94600"/>
  </r>
  <r>
    <x v="84"/>
    <x v="7"/>
    <s v="Sneha Kapoor"/>
    <x v="1"/>
    <x v="4"/>
    <n v="97"/>
    <n v="142202"/>
  </r>
  <r>
    <x v="113"/>
    <x v="0"/>
    <s v="Rahul Sharma"/>
    <x v="5"/>
    <x v="5"/>
    <n v="129"/>
    <n v="416283"/>
  </r>
  <r>
    <x v="114"/>
    <x v="0"/>
    <s v="Amit Verma"/>
    <x v="1"/>
    <x v="3"/>
    <n v="424"/>
    <n v="2929840"/>
  </r>
  <r>
    <x v="23"/>
    <x v="2"/>
    <s v="Karan Mehta"/>
    <x v="4"/>
    <x v="3"/>
    <n v="345"/>
    <n v="2181090"/>
  </r>
  <r>
    <x v="115"/>
    <x v="2"/>
    <s v="Sneha Kapoor"/>
    <x v="1"/>
    <x v="3"/>
    <n v="473"/>
    <n v="1165472"/>
  </r>
  <r>
    <x v="20"/>
    <x v="9"/>
    <s v="Vikas Singh"/>
    <x v="2"/>
    <x v="6"/>
    <n v="409"/>
    <n v="2865454"/>
  </r>
  <r>
    <x v="68"/>
    <x v="7"/>
    <s v="Anjali Rao"/>
    <x v="4"/>
    <x v="1"/>
    <n v="355"/>
    <n v="2745925"/>
  </r>
  <r>
    <x v="116"/>
    <x v="1"/>
    <s v="Karan Mehta"/>
    <x v="6"/>
    <x v="5"/>
    <n v="165"/>
    <n v="1100880"/>
  </r>
  <r>
    <x v="117"/>
    <x v="9"/>
    <s v="Anjali Rao"/>
    <x v="2"/>
    <x v="9"/>
    <n v="209"/>
    <n v="1640441"/>
  </r>
  <r>
    <x v="118"/>
    <x v="5"/>
    <s v="Priya Nair"/>
    <x v="1"/>
    <x v="8"/>
    <n v="347"/>
    <n v="1414025"/>
  </r>
  <r>
    <x v="66"/>
    <x v="3"/>
    <s v="Vikas Singh"/>
    <x v="5"/>
    <x v="2"/>
    <n v="258"/>
    <n v="1952544"/>
  </r>
  <r>
    <x v="97"/>
    <x v="8"/>
    <s v="Vikas Singh"/>
    <x v="6"/>
    <x v="9"/>
    <n v="406"/>
    <n v="785610"/>
  </r>
  <r>
    <x v="102"/>
    <x v="1"/>
    <s v="Sneha Kapoor"/>
    <x v="2"/>
    <x v="5"/>
    <n v="11"/>
    <n v="62282"/>
  </r>
  <r>
    <x v="119"/>
    <x v="9"/>
    <s v="Anjali Rao"/>
    <x v="2"/>
    <x v="5"/>
    <n v="206"/>
    <n v="1276582"/>
  </r>
  <r>
    <x v="59"/>
    <x v="6"/>
    <s v="Anjali Rao"/>
    <x v="1"/>
    <x v="9"/>
    <n v="438"/>
    <n v="3143964"/>
  </r>
  <r>
    <x v="102"/>
    <x v="7"/>
    <s v="Rahul Sharma"/>
    <x v="4"/>
    <x v="6"/>
    <n v="405"/>
    <n v="2435670"/>
  </r>
  <r>
    <x v="7"/>
    <x v="6"/>
    <s v="Amit Verma"/>
    <x v="4"/>
    <x v="6"/>
    <n v="181"/>
    <n v="1349898"/>
  </r>
  <r>
    <x v="120"/>
    <x v="9"/>
    <s v="Karan Mehta"/>
    <x v="2"/>
    <x v="9"/>
    <n v="108"/>
    <n v="414504"/>
  </r>
  <r>
    <x v="121"/>
    <x v="7"/>
    <s v="Amit Verma"/>
    <x v="1"/>
    <x v="0"/>
    <n v="380"/>
    <n v="1441720"/>
  </r>
  <r>
    <x v="122"/>
    <x v="5"/>
    <s v="Karan Mehta"/>
    <x v="0"/>
    <x v="7"/>
    <n v="212"/>
    <n v="1447748"/>
  </r>
  <r>
    <x v="110"/>
    <x v="8"/>
    <s v="Priya Nair"/>
    <x v="0"/>
    <x v="0"/>
    <n v="325"/>
    <n v="2514850"/>
  </r>
  <r>
    <x v="100"/>
    <x v="9"/>
    <s v="Priya Nair"/>
    <x v="3"/>
    <x v="0"/>
    <n v="437"/>
    <n v="583832"/>
  </r>
  <r>
    <x v="37"/>
    <x v="3"/>
    <s v="Vikas Singh"/>
    <x v="4"/>
    <x v="5"/>
    <n v="481"/>
    <n v="761904"/>
  </r>
  <r>
    <x v="123"/>
    <x v="1"/>
    <s v="Rahul Sharma"/>
    <x v="3"/>
    <x v="8"/>
    <n v="45"/>
    <n v="325935"/>
  </r>
  <r>
    <x v="124"/>
    <x v="7"/>
    <s v="Rahul Sharma"/>
    <x v="5"/>
    <x v="6"/>
    <n v="133"/>
    <n v="898415"/>
  </r>
  <r>
    <x v="125"/>
    <x v="4"/>
    <s v="Priya Nair"/>
    <x v="5"/>
    <x v="7"/>
    <n v="124"/>
    <n v="153264"/>
  </r>
  <r>
    <x v="85"/>
    <x v="3"/>
    <s v="Priya Nair"/>
    <x v="4"/>
    <x v="6"/>
    <n v="172"/>
    <n v="592712"/>
  </r>
  <r>
    <x v="126"/>
    <x v="6"/>
    <s v="Priya Nair"/>
    <x v="0"/>
    <x v="4"/>
    <n v="210"/>
    <n v="417690"/>
  </r>
  <r>
    <x v="15"/>
    <x v="8"/>
    <s v="Priya Nair"/>
    <x v="6"/>
    <x v="6"/>
    <n v="296"/>
    <n v="2210232"/>
  </r>
  <r>
    <x v="127"/>
    <x v="4"/>
    <s v="Priya Nair"/>
    <x v="6"/>
    <x v="9"/>
    <n v="296"/>
    <n v="1730712"/>
  </r>
  <r>
    <x v="128"/>
    <x v="4"/>
    <s v="Neha Joshi"/>
    <x v="1"/>
    <x v="8"/>
    <n v="411"/>
    <n v="2948514"/>
  </r>
  <r>
    <x v="62"/>
    <x v="6"/>
    <s v="Priya Nair"/>
    <x v="3"/>
    <x v="3"/>
    <n v="191"/>
    <n v="758270"/>
  </r>
  <r>
    <x v="59"/>
    <x v="3"/>
    <s v="Anjali Rao"/>
    <x v="0"/>
    <x v="2"/>
    <n v="76"/>
    <n v="506084"/>
  </r>
  <r>
    <x v="129"/>
    <x v="2"/>
    <s v="Amit Verma"/>
    <x v="3"/>
    <x v="0"/>
    <n v="174"/>
    <n v="477456"/>
  </r>
  <r>
    <x v="27"/>
    <x v="1"/>
    <s v="Vikas Singh"/>
    <x v="4"/>
    <x v="5"/>
    <n v="37"/>
    <n v="268953"/>
  </r>
  <r>
    <x v="130"/>
    <x v="4"/>
    <s v="Karan Mehta"/>
    <x v="2"/>
    <x v="8"/>
    <n v="385"/>
    <n v="2825900"/>
  </r>
  <r>
    <x v="131"/>
    <x v="5"/>
    <s v="Amit Verma"/>
    <x v="5"/>
    <x v="0"/>
    <n v="195"/>
    <n v="601770"/>
  </r>
  <r>
    <x v="56"/>
    <x v="6"/>
    <s v="Anjali Rao"/>
    <x v="3"/>
    <x v="6"/>
    <n v="73"/>
    <n v="462455"/>
  </r>
  <r>
    <x v="132"/>
    <x v="0"/>
    <s v="Amit Verma"/>
    <x v="4"/>
    <x v="9"/>
    <n v="102"/>
    <n v="671670"/>
  </r>
  <r>
    <x v="133"/>
    <x v="3"/>
    <s v="Priya Nair"/>
    <x v="4"/>
    <x v="2"/>
    <n v="471"/>
    <n v="1778025"/>
  </r>
  <r>
    <x v="134"/>
    <x v="0"/>
    <s v="Anjali Rao"/>
    <x v="4"/>
    <x v="8"/>
    <n v="412"/>
    <n v="3140676"/>
  </r>
  <r>
    <x v="135"/>
    <x v="7"/>
    <s v="Anjali Rao"/>
    <x v="2"/>
    <x v="0"/>
    <n v="100"/>
    <n v="169000"/>
  </r>
  <r>
    <x v="136"/>
    <x v="6"/>
    <s v="Neha Joshi"/>
    <x v="6"/>
    <x v="1"/>
    <n v="135"/>
    <n v="601965"/>
  </r>
  <r>
    <x v="137"/>
    <x v="6"/>
    <s v="Rahul Sharma"/>
    <x v="6"/>
    <x v="3"/>
    <n v="484"/>
    <n v="1843072"/>
  </r>
  <r>
    <x v="73"/>
    <x v="9"/>
    <s v="Rahul Sharma"/>
    <x v="3"/>
    <x v="1"/>
    <n v="481"/>
    <n v="972101"/>
  </r>
  <r>
    <x v="16"/>
    <x v="8"/>
    <s v="Neha Joshi"/>
    <x v="2"/>
    <x v="5"/>
    <n v="218"/>
    <n v="1377324"/>
  </r>
  <r>
    <x v="138"/>
    <x v="8"/>
    <s v="Sneha Kapoor"/>
    <x v="5"/>
    <x v="6"/>
    <n v="98"/>
    <n v="652778"/>
  </r>
  <r>
    <x v="98"/>
    <x v="7"/>
    <s v="Neha Joshi"/>
    <x v="0"/>
    <x v="9"/>
    <n v="159"/>
    <n v="1231932"/>
  </r>
  <r>
    <x v="139"/>
    <x v="5"/>
    <s v="Priya Nair"/>
    <x v="2"/>
    <x v="3"/>
    <n v="315"/>
    <n v="1947330"/>
  </r>
  <r>
    <x v="140"/>
    <x v="6"/>
    <s v="Amit Verma"/>
    <x v="0"/>
    <x v="1"/>
    <n v="245"/>
    <n v="1732885"/>
  </r>
  <r>
    <x v="18"/>
    <x v="4"/>
    <s v="Priya Nair"/>
    <x v="2"/>
    <x v="7"/>
    <n v="278"/>
    <n v="1575426"/>
  </r>
  <r>
    <x v="58"/>
    <x v="3"/>
    <s v="Vikas Singh"/>
    <x v="3"/>
    <x v="4"/>
    <n v="187"/>
    <n v="328185"/>
  </r>
  <r>
    <x v="1"/>
    <x v="7"/>
    <s v="Karan Mehta"/>
    <x v="4"/>
    <x v="6"/>
    <n v="390"/>
    <n v="1946880"/>
  </r>
  <r>
    <x v="141"/>
    <x v="0"/>
    <s v="Sneha Kapoor"/>
    <x v="0"/>
    <x v="5"/>
    <n v="150"/>
    <n v="523200"/>
  </r>
  <r>
    <x v="79"/>
    <x v="6"/>
    <s v="Rahul Sharma"/>
    <x v="0"/>
    <x v="9"/>
    <n v="225"/>
    <n v="912150"/>
  </r>
  <r>
    <x v="72"/>
    <x v="6"/>
    <s v="Vikas Singh"/>
    <x v="3"/>
    <x v="5"/>
    <n v="268"/>
    <n v="2061992"/>
  </r>
  <r>
    <x v="142"/>
    <x v="8"/>
    <s v="Anjali Rao"/>
    <x v="0"/>
    <x v="4"/>
    <n v="414"/>
    <n v="3025098"/>
  </r>
  <r>
    <x v="143"/>
    <x v="7"/>
    <s v="Rahul Sharma"/>
    <x v="2"/>
    <x v="5"/>
    <n v="412"/>
    <n v="2394132"/>
  </r>
  <r>
    <x v="36"/>
    <x v="0"/>
    <s v="Vikas Singh"/>
    <x v="4"/>
    <x v="3"/>
    <n v="181"/>
    <n v="474039"/>
  </r>
  <r>
    <x v="18"/>
    <x v="8"/>
    <s v="Amit Verma"/>
    <x v="0"/>
    <x v="2"/>
    <n v="258"/>
    <n v="1965702"/>
  </r>
  <r>
    <x v="144"/>
    <x v="4"/>
    <s v="Sneha Kapoor"/>
    <x v="1"/>
    <x v="9"/>
    <n v="59"/>
    <n v="96170"/>
  </r>
  <r>
    <x v="145"/>
    <x v="8"/>
    <s v="Anjali Rao"/>
    <x v="2"/>
    <x v="6"/>
    <n v="76"/>
    <n v="357428"/>
  </r>
  <r>
    <x v="82"/>
    <x v="6"/>
    <s v="Karan Mehta"/>
    <x v="3"/>
    <x v="9"/>
    <n v="193"/>
    <n v="1123067"/>
  </r>
  <r>
    <x v="40"/>
    <x v="7"/>
    <s v="Neha Joshi"/>
    <x v="1"/>
    <x v="0"/>
    <n v="220"/>
    <n v="1069200"/>
  </r>
  <r>
    <x v="146"/>
    <x v="7"/>
    <s v="Vikas Singh"/>
    <x v="4"/>
    <x v="1"/>
    <n v="76"/>
    <n v="478876"/>
  </r>
  <r>
    <x v="147"/>
    <x v="6"/>
    <s v="Neha Joshi"/>
    <x v="0"/>
    <x v="1"/>
    <n v="315"/>
    <n v="2208780"/>
  </r>
  <r>
    <x v="148"/>
    <x v="8"/>
    <s v="Priya Nair"/>
    <x v="6"/>
    <x v="2"/>
    <n v="418"/>
    <n v="1868042"/>
  </r>
  <r>
    <x v="149"/>
    <x v="9"/>
    <s v="Amit Verma"/>
    <x v="6"/>
    <x v="0"/>
    <n v="309"/>
    <n v="2320590"/>
  </r>
  <r>
    <x v="83"/>
    <x v="4"/>
    <s v="Neha Joshi"/>
    <x v="5"/>
    <x v="4"/>
    <n v="206"/>
    <n v="1521104"/>
  </r>
  <r>
    <x v="141"/>
    <x v="1"/>
    <s v="Priya Nair"/>
    <x v="0"/>
    <x v="3"/>
    <n v="145"/>
    <n v="628720"/>
  </r>
  <r>
    <x v="85"/>
    <x v="7"/>
    <s v="Rahul Sharma"/>
    <x v="1"/>
    <x v="7"/>
    <n v="411"/>
    <n v="1161075"/>
  </r>
  <r>
    <x v="34"/>
    <x v="7"/>
    <s v="Amit Verma"/>
    <x v="1"/>
    <x v="0"/>
    <n v="432"/>
    <n v="2845152"/>
  </r>
  <r>
    <x v="150"/>
    <x v="6"/>
    <s v="Rahul Sharma"/>
    <x v="5"/>
    <x v="3"/>
    <n v="51"/>
    <n v="77418"/>
  </r>
  <r>
    <x v="151"/>
    <x v="8"/>
    <s v="Karan Mehta"/>
    <x v="0"/>
    <x v="1"/>
    <n v="20"/>
    <n v="48440"/>
  </r>
  <r>
    <x v="95"/>
    <x v="1"/>
    <s v="Anjali Rao"/>
    <x v="5"/>
    <x v="5"/>
    <n v="86"/>
    <n v="408242"/>
  </r>
  <r>
    <x v="101"/>
    <x v="9"/>
    <s v="Anjali Rao"/>
    <x v="1"/>
    <x v="4"/>
    <n v="426"/>
    <n v="1347864"/>
  </r>
  <r>
    <x v="152"/>
    <x v="4"/>
    <s v="Neha Joshi"/>
    <x v="4"/>
    <x v="3"/>
    <n v="353"/>
    <n v="2104939"/>
  </r>
  <r>
    <x v="50"/>
    <x v="1"/>
    <s v="Rahul Sharma"/>
    <x v="3"/>
    <x v="7"/>
    <n v="197"/>
    <n v="1087243"/>
  </r>
  <r>
    <x v="153"/>
    <x v="5"/>
    <s v="Neha Joshi"/>
    <x v="4"/>
    <x v="4"/>
    <n v="66"/>
    <n v="295020"/>
  </r>
  <r>
    <x v="137"/>
    <x v="2"/>
    <s v="Sneha Kapoor"/>
    <x v="6"/>
    <x v="4"/>
    <n v="282"/>
    <n v="930600"/>
  </r>
  <r>
    <x v="154"/>
    <x v="9"/>
    <s v="Sneha Kapoor"/>
    <x v="6"/>
    <x v="4"/>
    <n v="49"/>
    <n v="386904"/>
  </r>
  <r>
    <x v="155"/>
    <x v="6"/>
    <s v="Neha Joshi"/>
    <x v="5"/>
    <x v="3"/>
    <n v="358"/>
    <n v="872804"/>
  </r>
  <r>
    <x v="121"/>
    <x v="8"/>
    <s v="Karan Mehta"/>
    <x v="6"/>
    <x v="2"/>
    <n v="493"/>
    <n v="3890756"/>
  </r>
  <r>
    <x v="37"/>
    <x v="7"/>
    <s v="Priya Nair"/>
    <x v="1"/>
    <x v="9"/>
    <n v="160"/>
    <n v="1056640"/>
  </r>
  <r>
    <x v="156"/>
    <x v="7"/>
    <s v="Rahul Sharma"/>
    <x v="2"/>
    <x v="5"/>
    <n v="218"/>
    <n v="1733754"/>
  </r>
  <r>
    <x v="157"/>
    <x v="6"/>
    <s v="Priya Nair"/>
    <x v="3"/>
    <x v="1"/>
    <n v="469"/>
    <n v="3603327"/>
  </r>
  <r>
    <x v="158"/>
    <x v="8"/>
    <s v="Neha Joshi"/>
    <x v="0"/>
    <x v="3"/>
    <n v="261"/>
    <n v="1047915"/>
  </r>
  <r>
    <x v="159"/>
    <x v="6"/>
    <s v="Neha Joshi"/>
    <x v="6"/>
    <x v="2"/>
    <n v="238"/>
    <n v="887502"/>
  </r>
  <r>
    <x v="160"/>
    <x v="4"/>
    <s v="Amit Verma"/>
    <x v="0"/>
    <x v="0"/>
    <n v="353"/>
    <n v="1396468"/>
  </r>
  <r>
    <x v="33"/>
    <x v="4"/>
    <s v="Vikas Singh"/>
    <x v="2"/>
    <x v="0"/>
    <n v="293"/>
    <n v="633173"/>
  </r>
  <r>
    <x v="161"/>
    <x v="8"/>
    <s v="Rahul Sharma"/>
    <x v="5"/>
    <x v="4"/>
    <n v="480"/>
    <n v="2831040"/>
  </r>
  <r>
    <x v="162"/>
    <x v="6"/>
    <s v="Sneha Kapoor"/>
    <x v="4"/>
    <x v="8"/>
    <n v="172"/>
    <n v="174236"/>
  </r>
  <r>
    <x v="158"/>
    <x v="7"/>
    <s v="Sneha Kapoor"/>
    <x v="1"/>
    <x v="3"/>
    <n v="157"/>
    <n v="313529"/>
  </r>
  <r>
    <x v="39"/>
    <x v="9"/>
    <s v="Sneha Kapoor"/>
    <x v="0"/>
    <x v="3"/>
    <n v="290"/>
    <n v="1056180"/>
  </r>
  <r>
    <x v="163"/>
    <x v="6"/>
    <s v="Karan Mehta"/>
    <x v="4"/>
    <x v="7"/>
    <n v="348"/>
    <n v="1757748"/>
  </r>
  <r>
    <x v="164"/>
    <x v="2"/>
    <s v="Priya Nair"/>
    <x v="0"/>
    <x v="8"/>
    <n v="472"/>
    <n v="2489328"/>
  </r>
  <r>
    <x v="165"/>
    <x v="3"/>
    <s v="Rahul Sharma"/>
    <x v="0"/>
    <x v="4"/>
    <n v="207"/>
    <n v="1158993"/>
  </r>
  <r>
    <x v="28"/>
    <x v="0"/>
    <s v="Sneha Kapoor"/>
    <x v="3"/>
    <x v="7"/>
    <n v="309"/>
    <n v="1004250"/>
  </r>
  <r>
    <x v="166"/>
    <x v="6"/>
    <s v="Neha Joshi"/>
    <x v="4"/>
    <x v="2"/>
    <n v="99"/>
    <n v="172458"/>
  </r>
  <r>
    <x v="109"/>
    <x v="4"/>
    <s v="Rahul Sharma"/>
    <x v="2"/>
    <x v="5"/>
    <n v="206"/>
    <n v="1533670"/>
  </r>
  <r>
    <x v="167"/>
    <x v="3"/>
    <s v="Anjali Rao"/>
    <x v="0"/>
    <x v="6"/>
    <n v="406"/>
    <n v="619962"/>
  </r>
  <r>
    <x v="86"/>
    <x v="0"/>
    <s v="Priya Nair"/>
    <x v="1"/>
    <x v="0"/>
    <n v="388"/>
    <n v="1321528"/>
  </r>
  <r>
    <x v="168"/>
    <x v="3"/>
    <s v="Vikas Singh"/>
    <x v="3"/>
    <x v="6"/>
    <n v="110"/>
    <n v="124410"/>
  </r>
  <r>
    <x v="169"/>
    <x v="5"/>
    <s v="Vikas Singh"/>
    <x v="2"/>
    <x v="6"/>
    <n v="243"/>
    <n v="677484"/>
  </r>
  <r>
    <x v="170"/>
    <x v="3"/>
    <s v="Neha Joshi"/>
    <x v="5"/>
    <x v="8"/>
    <n v="199"/>
    <n v="760180"/>
  </r>
  <r>
    <x v="80"/>
    <x v="0"/>
    <s v="Priya Nair"/>
    <x v="5"/>
    <x v="6"/>
    <n v="268"/>
    <n v="776396"/>
  </r>
  <r>
    <x v="161"/>
    <x v="3"/>
    <s v="Anjali Rao"/>
    <x v="4"/>
    <x v="8"/>
    <n v="350"/>
    <n v="891450"/>
  </r>
  <r>
    <x v="117"/>
    <x v="9"/>
    <s v="Rahul Sharma"/>
    <x v="6"/>
    <x v="8"/>
    <n v="158"/>
    <n v="544942"/>
  </r>
  <r>
    <x v="38"/>
    <x v="3"/>
    <s v="Sneha Kapoor"/>
    <x v="5"/>
    <x v="5"/>
    <n v="164"/>
    <n v="881500"/>
  </r>
  <r>
    <x v="71"/>
    <x v="8"/>
    <s v="Sneha Kapoor"/>
    <x v="6"/>
    <x v="1"/>
    <n v="437"/>
    <n v="2046908"/>
  </r>
  <r>
    <x v="4"/>
    <x v="2"/>
    <s v="Vikas Singh"/>
    <x v="0"/>
    <x v="0"/>
    <n v="363"/>
    <n v="408012"/>
  </r>
  <r>
    <x v="171"/>
    <x v="4"/>
    <s v="Sneha Kapoor"/>
    <x v="1"/>
    <x v="7"/>
    <n v="456"/>
    <n v="920664"/>
  </r>
  <r>
    <x v="172"/>
    <x v="7"/>
    <s v="Neha Joshi"/>
    <x v="0"/>
    <x v="4"/>
    <n v="440"/>
    <n v="2344760"/>
  </r>
  <r>
    <x v="138"/>
    <x v="4"/>
    <s v="Rahul Sharma"/>
    <x v="5"/>
    <x v="1"/>
    <n v="254"/>
    <n v="1706118"/>
  </r>
  <r>
    <x v="74"/>
    <x v="1"/>
    <s v="Sneha Kapoor"/>
    <x v="3"/>
    <x v="9"/>
    <n v="116"/>
    <n v="659112"/>
  </r>
  <r>
    <x v="173"/>
    <x v="3"/>
    <s v="Anjali Rao"/>
    <x v="5"/>
    <x v="3"/>
    <n v="304"/>
    <n v="1115680"/>
  </r>
  <r>
    <x v="174"/>
    <x v="5"/>
    <s v="Priya Nair"/>
    <x v="2"/>
    <x v="3"/>
    <n v="12"/>
    <n v="35832"/>
  </r>
  <r>
    <x v="20"/>
    <x v="6"/>
    <s v="Anjali Rao"/>
    <x v="5"/>
    <x v="2"/>
    <n v="234"/>
    <n v="1470222"/>
  </r>
  <r>
    <x v="175"/>
    <x v="9"/>
    <s v="Neha Joshi"/>
    <x v="5"/>
    <x v="0"/>
    <n v="427"/>
    <n v="2360029"/>
  </r>
  <r>
    <x v="164"/>
    <x v="8"/>
    <s v="Sneha Kapoor"/>
    <x v="2"/>
    <x v="1"/>
    <n v="461"/>
    <n v="2052833"/>
  </r>
  <r>
    <x v="112"/>
    <x v="6"/>
    <s v="Vikas Singh"/>
    <x v="1"/>
    <x v="7"/>
    <n v="310"/>
    <n v="2146440"/>
  </r>
  <r>
    <x v="176"/>
    <x v="4"/>
    <s v="Rahul Sharma"/>
    <x v="5"/>
    <x v="1"/>
    <n v="18"/>
    <n v="63504"/>
  </r>
  <r>
    <x v="89"/>
    <x v="1"/>
    <s v="Karan Mehta"/>
    <x v="1"/>
    <x v="6"/>
    <n v="374"/>
    <n v="1304512"/>
  </r>
  <r>
    <x v="177"/>
    <x v="8"/>
    <s v="Amit Verma"/>
    <x v="1"/>
    <x v="4"/>
    <n v="204"/>
    <n v="1032444"/>
  </r>
  <r>
    <x v="178"/>
    <x v="1"/>
    <s v="Anjali Rao"/>
    <x v="5"/>
    <x v="7"/>
    <n v="64"/>
    <n v="205120"/>
  </r>
  <r>
    <x v="130"/>
    <x v="8"/>
    <s v="Amit Verma"/>
    <x v="1"/>
    <x v="1"/>
    <n v="231"/>
    <n v="1800645"/>
  </r>
  <r>
    <x v="1"/>
    <x v="6"/>
    <s v="Priya Nair"/>
    <x v="6"/>
    <x v="0"/>
    <n v="215"/>
    <n v="789265"/>
  </r>
  <r>
    <x v="179"/>
    <x v="1"/>
    <s v="Vikas Singh"/>
    <x v="2"/>
    <x v="3"/>
    <n v="39"/>
    <n v="177333"/>
  </r>
  <r>
    <x v="159"/>
    <x v="3"/>
    <s v="Vikas Singh"/>
    <x v="4"/>
    <x v="1"/>
    <n v="258"/>
    <n v="1699188"/>
  </r>
  <r>
    <x v="180"/>
    <x v="5"/>
    <s v="Amit Verma"/>
    <x v="5"/>
    <x v="7"/>
    <n v="324"/>
    <n v="1993572"/>
  </r>
  <r>
    <x v="10"/>
    <x v="0"/>
    <s v="Rahul Sharma"/>
    <x v="0"/>
    <x v="0"/>
    <n v="305"/>
    <n v="1578680"/>
  </r>
  <r>
    <x v="181"/>
    <x v="1"/>
    <s v="Rahul Sharma"/>
    <x v="0"/>
    <x v="4"/>
    <n v="432"/>
    <n v="1865808"/>
  </r>
  <r>
    <x v="61"/>
    <x v="7"/>
    <s v="Vikas Singh"/>
    <x v="5"/>
    <x v="2"/>
    <n v="15"/>
    <n v="77865"/>
  </r>
  <r>
    <x v="45"/>
    <x v="0"/>
    <s v="Karan Mehta"/>
    <x v="5"/>
    <x v="4"/>
    <n v="240"/>
    <n v="395760"/>
  </r>
  <r>
    <x v="163"/>
    <x v="8"/>
    <s v="Anjali Rao"/>
    <x v="1"/>
    <x v="7"/>
    <n v="140"/>
    <n v="569380"/>
  </r>
  <r>
    <x v="182"/>
    <x v="0"/>
    <s v="Karan Mehta"/>
    <x v="4"/>
    <x v="4"/>
    <n v="179"/>
    <n v="525723"/>
  </r>
  <r>
    <x v="183"/>
    <x v="3"/>
    <s v="Anjali Rao"/>
    <x v="0"/>
    <x v="9"/>
    <n v="23"/>
    <n v="165554"/>
  </r>
  <r>
    <x v="77"/>
    <x v="4"/>
    <s v="Priya Nair"/>
    <x v="1"/>
    <x v="7"/>
    <n v="110"/>
    <n v="852390"/>
  </r>
  <r>
    <x v="184"/>
    <x v="5"/>
    <s v="Rahul Sharma"/>
    <x v="0"/>
    <x v="5"/>
    <n v="241"/>
    <n v="1101370"/>
  </r>
  <r>
    <x v="96"/>
    <x v="0"/>
    <s v="Karan Mehta"/>
    <x v="6"/>
    <x v="5"/>
    <n v="138"/>
    <n v="879888"/>
  </r>
  <r>
    <x v="141"/>
    <x v="6"/>
    <s v="Vikas Singh"/>
    <x v="2"/>
    <x v="2"/>
    <n v="173"/>
    <n v="490801"/>
  </r>
  <r>
    <x v="185"/>
    <x v="2"/>
    <s v="Anjali Rao"/>
    <x v="5"/>
    <x v="5"/>
    <n v="158"/>
    <n v="418700"/>
  </r>
  <r>
    <x v="34"/>
    <x v="6"/>
    <s v="Priya Nair"/>
    <x v="5"/>
    <x v="7"/>
    <n v="337"/>
    <n v="623113"/>
  </r>
  <r>
    <x v="24"/>
    <x v="8"/>
    <s v="Priya Nair"/>
    <x v="6"/>
    <x v="6"/>
    <n v="48"/>
    <n v="152688"/>
  </r>
  <r>
    <x v="178"/>
    <x v="2"/>
    <s v="Amit Verma"/>
    <x v="3"/>
    <x v="5"/>
    <n v="371"/>
    <n v="442974"/>
  </r>
  <r>
    <x v="186"/>
    <x v="1"/>
    <s v="Rahul Sharma"/>
    <x v="1"/>
    <x v="4"/>
    <n v="449"/>
    <n v="1184462"/>
  </r>
  <r>
    <x v="187"/>
    <x v="6"/>
    <s v="Neha Joshi"/>
    <x v="6"/>
    <x v="3"/>
    <n v="333"/>
    <n v="2101563"/>
  </r>
  <r>
    <x v="52"/>
    <x v="6"/>
    <s v="Karan Mehta"/>
    <x v="2"/>
    <x v="5"/>
    <n v="91"/>
    <n v="258531"/>
  </r>
  <r>
    <x v="2"/>
    <x v="4"/>
    <s v="Neha Joshi"/>
    <x v="6"/>
    <x v="2"/>
    <n v="379"/>
    <n v="828873"/>
  </r>
  <r>
    <x v="40"/>
    <x v="7"/>
    <s v="Neha Joshi"/>
    <x v="5"/>
    <x v="9"/>
    <n v="75"/>
    <n v="436575"/>
  </r>
  <r>
    <x v="188"/>
    <x v="2"/>
    <s v="Sneha Kapoor"/>
    <x v="4"/>
    <x v="8"/>
    <n v="452"/>
    <n v="3534188"/>
  </r>
  <r>
    <x v="139"/>
    <x v="5"/>
    <s v="Priya Nair"/>
    <x v="1"/>
    <x v="0"/>
    <n v="338"/>
    <n v="1042054"/>
  </r>
  <r>
    <x v="189"/>
    <x v="5"/>
    <s v="Amit Verma"/>
    <x v="6"/>
    <x v="6"/>
    <n v="150"/>
    <n v="1148700"/>
  </r>
  <r>
    <x v="190"/>
    <x v="7"/>
    <s v="Rahul Sharma"/>
    <x v="5"/>
    <x v="2"/>
    <n v="398"/>
    <n v="2521728"/>
  </r>
  <r>
    <x v="92"/>
    <x v="4"/>
    <s v="Karan Mehta"/>
    <x v="2"/>
    <x v="8"/>
    <n v="146"/>
    <n v="1057624"/>
  </r>
  <r>
    <x v="191"/>
    <x v="5"/>
    <s v="Amit Verma"/>
    <x v="1"/>
    <x v="3"/>
    <n v="169"/>
    <n v="985608"/>
  </r>
  <r>
    <x v="128"/>
    <x v="9"/>
    <s v="Anjali Rao"/>
    <x v="2"/>
    <x v="3"/>
    <n v="336"/>
    <n v="2107392"/>
  </r>
  <r>
    <x v="192"/>
    <x v="1"/>
    <s v="Neha Joshi"/>
    <x v="6"/>
    <x v="4"/>
    <n v="226"/>
    <n v="264872"/>
  </r>
  <r>
    <x v="131"/>
    <x v="5"/>
    <s v="Neha Joshi"/>
    <x v="0"/>
    <x v="6"/>
    <n v="355"/>
    <n v="2001135"/>
  </r>
  <r>
    <x v="154"/>
    <x v="1"/>
    <s v="Anjali Rao"/>
    <x v="5"/>
    <x v="0"/>
    <n v="426"/>
    <n v="909936"/>
  </r>
  <r>
    <x v="193"/>
    <x v="6"/>
    <s v="Anjali Rao"/>
    <x v="3"/>
    <x v="1"/>
    <n v="256"/>
    <n v="1998336"/>
  </r>
  <r>
    <x v="78"/>
    <x v="8"/>
    <s v="Anjali Rao"/>
    <x v="0"/>
    <x v="3"/>
    <n v="66"/>
    <n v="198858"/>
  </r>
  <r>
    <x v="71"/>
    <x v="7"/>
    <s v="Anjali Rao"/>
    <x v="0"/>
    <x v="1"/>
    <n v="292"/>
    <n v="1684840"/>
  </r>
  <r>
    <x v="194"/>
    <x v="6"/>
    <s v="Amit Verma"/>
    <x v="3"/>
    <x v="4"/>
    <n v="397"/>
    <n v="647904"/>
  </r>
  <r>
    <x v="27"/>
    <x v="1"/>
    <s v="Anjali Rao"/>
    <x v="3"/>
    <x v="8"/>
    <n v="122"/>
    <n v="930372"/>
  </r>
  <r>
    <x v="195"/>
    <x v="6"/>
    <s v="Neha Joshi"/>
    <x v="4"/>
    <x v="1"/>
    <n v="485"/>
    <n v="2253310"/>
  </r>
  <r>
    <x v="196"/>
    <x v="7"/>
    <s v="Anjali Rao"/>
    <x v="4"/>
    <x v="2"/>
    <n v="119"/>
    <n v="774571"/>
  </r>
  <r>
    <x v="197"/>
    <x v="0"/>
    <s v="Vikas Singh"/>
    <x v="5"/>
    <x v="8"/>
    <n v="270"/>
    <n v="672840"/>
  </r>
  <r>
    <x v="198"/>
    <x v="2"/>
    <s v="Neha Joshi"/>
    <x v="2"/>
    <x v="5"/>
    <n v="120"/>
    <n v="791880"/>
  </r>
  <r>
    <x v="186"/>
    <x v="3"/>
    <s v="Vikas Singh"/>
    <x v="0"/>
    <x v="2"/>
    <n v="437"/>
    <n v="3390683"/>
  </r>
  <r>
    <x v="199"/>
    <x v="7"/>
    <s v="Priya Nair"/>
    <x v="6"/>
    <x v="9"/>
    <n v="168"/>
    <n v="478968"/>
  </r>
  <r>
    <x v="162"/>
    <x v="6"/>
    <s v="Vikas Singh"/>
    <x v="3"/>
    <x v="4"/>
    <n v="241"/>
    <n v="288718"/>
  </r>
  <r>
    <x v="200"/>
    <x v="8"/>
    <s v="Amit Verma"/>
    <x v="6"/>
    <x v="6"/>
    <n v="163"/>
    <n v="561372"/>
  </r>
  <r>
    <x v="185"/>
    <x v="8"/>
    <s v="Anjali Rao"/>
    <x v="3"/>
    <x v="4"/>
    <n v="410"/>
    <n v="1668700"/>
  </r>
  <r>
    <x v="103"/>
    <x v="4"/>
    <s v="Anjali Rao"/>
    <x v="3"/>
    <x v="1"/>
    <n v="178"/>
    <n v="1373626"/>
  </r>
  <r>
    <x v="8"/>
    <x v="1"/>
    <s v="Vikas Singh"/>
    <x v="0"/>
    <x v="5"/>
    <n v="440"/>
    <n v="2111560"/>
  </r>
  <r>
    <x v="201"/>
    <x v="1"/>
    <s v="Neha Joshi"/>
    <x v="3"/>
    <x v="3"/>
    <n v="399"/>
    <n v="1758393"/>
  </r>
  <r>
    <x v="7"/>
    <x v="5"/>
    <s v="Amit Verma"/>
    <x v="0"/>
    <x v="4"/>
    <n v="267"/>
    <n v="1461291"/>
  </r>
  <r>
    <x v="113"/>
    <x v="2"/>
    <s v="Rahul Sharma"/>
    <x v="6"/>
    <x v="5"/>
    <n v="71"/>
    <n v="211864"/>
  </r>
  <r>
    <x v="90"/>
    <x v="6"/>
    <s v="Vikas Singh"/>
    <x v="2"/>
    <x v="8"/>
    <n v="406"/>
    <n v="2652398"/>
  </r>
  <r>
    <x v="202"/>
    <x v="3"/>
    <s v="Neha Joshi"/>
    <x v="6"/>
    <x v="6"/>
    <n v="302"/>
    <n v="2226344"/>
  </r>
  <r>
    <x v="6"/>
    <x v="2"/>
    <s v="Anjali Rao"/>
    <x v="4"/>
    <x v="3"/>
    <n v="93"/>
    <n v="239103"/>
  </r>
  <r>
    <x v="45"/>
    <x v="7"/>
    <s v="Priya Nair"/>
    <x v="2"/>
    <x v="5"/>
    <n v="278"/>
    <n v="1998542"/>
  </r>
  <r>
    <x v="203"/>
    <x v="9"/>
    <s v="Karan Mehta"/>
    <x v="3"/>
    <x v="8"/>
    <n v="454"/>
    <n v="1445990"/>
  </r>
  <r>
    <x v="204"/>
    <x v="3"/>
    <s v="Priya Nair"/>
    <x v="2"/>
    <x v="9"/>
    <n v="434"/>
    <n v="2074086"/>
  </r>
  <r>
    <x v="205"/>
    <x v="1"/>
    <s v="Rahul Sharma"/>
    <x v="4"/>
    <x v="0"/>
    <n v="102"/>
    <n v="421974"/>
  </r>
  <r>
    <x v="206"/>
    <x v="9"/>
    <s v="Priya Nair"/>
    <x v="1"/>
    <x v="6"/>
    <n v="248"/>
    <n v="1832720"/>
  </r>
  <r>
    <x v="156"/>
    <x v="9"/>
    <s v="Sneha Kapoor"/>
    <x v="0"/>
    <x v="7"/>
    <n v="442"/>
    <n v="3220854"/>
  </r>
  <r>
    <x v="196"/>
    <x v="6"/>
    <s v="Rahul Sharma"/>
    <x v="5"/>
    <x v="5"/>
    <n v="214"/>
    <n v="1151962"/>
  </r>
  <r>
    <x v="49"/>
    <x v="8"/>
    <s v="Vikas Singh"/>
    <x v="2"/>
    <x v="2"/>
    <n v="495"/>
    <n v="2253240"/>
  </r>
  <r>
    <x v="207"/>
    <x v="2"/>
    <s v="Rahul Sharma"/>
    <x v="6"/>
    <x v="4"/>
    <n v="102"/>
    <n v="480012"/>
  </r>
  <r>
    <x v="208"/>
    <x v="7"/>
    <s v="Vikas Singh"/>
    <x v="0"/>
    <x v="4"/>
    <n v="139"/>
    <n v="445634"/>
  </r>
  <r>
    <x v="209"/>
    <x v="7"/>
    <s v="Anjali Rao"/>
    <x v="6"/>
    <x v="2"/>
    <n v="448"/>
    <n v="2237312"/>
  </r>
  <r>
    <x v="44"/>
    <x v="3"/>
    <s v="Karan Mehta"/>
    <x v="1"/>
    <x v="0"/>
    <n v="204"/>
    <n v="517548"/>
  </r>
  <r>
    <x v="210"/>
    <x v="6"/>
    <s v="Amit Verma"/>
    <x v="4"/>
    <x v="5"/>
    <n v="253"/>
    <n v="1893958"/>
  </r>
  <r>
    <x v="103"/>
    <x v="8"/>
    <s v="Karan Mehta"/>
    <x v="5"/>
    <x v="1"/>
    <n v="470"/>
    <n v="3102000"/>
  </r>
  <r>
    <x v="211"/>
    <x v="2"/>
    <s v="Rahul Sharma"/>
    <x v="1"/>
    <x v="6"/>
    <n v="158"/>
    <n v="233366"/>
  </r>
  <r>
    <x v="42"/>
    <x v="0"/>
    <s v="Rahul Sharma"/>
    <x v="4"/>
    <x v="8"/>
    <n v="490"/>
    <n v="1507240"/>
  </r>
  <r>
    <x v="202"/>
    <x v="5"/>
    <s v="Sneha Kapoor"/>
    <x v="2"/>
    <x v="1"/>
    <n v="68"/>
    <n v="251260"/>
  </r>
  <r>
    <x v="195"/>
    <x v="7"/>
    <s v="Rahul Sharma"/>
    <x v="2"/>
    <x v="4"/>
    <n v="400"/>
    <n v="1218800"/>
  </r>
  <r>
    <x v="142"/>
    <x v="6"/>
    <s v="Amit Verma"/>
    <x v="0"/>
    <x v="2"/>
    <n v="72"/>
    <n v="574344"/>
  </r>
  <r>
    <x v="39"/>
    <x v="6"/>
    <s v="Karan Mehta"/>
    <x v="5"/>
    <x v="8"/>
    <n v="110"/>
    <n v="606650"/>
  </r>
  <r>
    <x v="40"/>
    <x v="3"/>
    <s v="Amit Verma"/>
    <x v="2"/>
    <x v="1"/>
    <n v="197"/>
    <n v="313821"/>
  </r>
  <r>
    <x v="122"/>
    <x v="7"/>
    <s v="Amit Verma"/>
    <x v="2"/>
    <x v="8"/>
    <n v="156"/>
    <n v="962520"/>
  </r>
  <r>
    <x v="192"/>
    <x v="6"/>
    <s v="Anjali Rao"/>
    <x v="4"/>
    <x v="2"/>
    <n v="129"/>
    <n v="935121"/>
  </r>
  <r>
    <x v="8"/>
    <x v="7"/>
    <s v="Neha Joshi"/>
    <x v="5"/>
    <x v="4"/>
    <n v="448"/>
    <n v="2117696"/>
  </r>
  <r>
    <x v="79"/>
    <x v="1"/>
    <s v="Rahul Sharma"/>
    <x v="3"/>
    <x v="8"/>
    <n v="498"/>
    <n v="2513406"/>
  </r>
  <r>
    <x v="212"/>
    <x v="8"/>
    <s v="Rahul Sharma"/>
    <x v="4"/>
    <x v="9"/>
    <n v="401"/>
    <n v="700547"/>
  </r>
  <r>
    <x v="213"/>
    <x v="0"/>
    <s v="Anjali Rao"/>
    <x v="3"/>
    <x v="2"/>
    <n v="127"/>
    <n v="998220"/>
  </r>
  <r>
    <x v="123"/>
    <x v="9"/>
    <s v="Vikas Singh"/>
    <x v="5"/>
    <x v="7"/>
    <n v="149"/>
    <n v="1040467"/>
  </r>
  <r>
    <x v="214"/>
    <x v="1"/>
    <s v="Anjali Rao"/>
    <x v="2"/>
    <x v="7"/>
    <n v="340"/>
    <n v="1327700"/>
  </r>
  <r>
    <x v="147"/>
    <x v="1"/>
    <s v="Rahul Sharma"/>
    <x v="2"/>
    <x v="3"/>
    <n v="232"/>
    <n v="277936"/>
  </r>
  <r>
    <x v="134"/>
    <x v="6"/>
    <s v="Karan Mehta"/>
    <x v="5"/>
    <x v="3"/>
    <n v="491"/>
    <n v="1809335"/>
  </r>
  <r>
    <x v="70"/>
    <x v="4"/>
    <s v="Amit Verma"/>
    <x v="6"/>
    <x v="7"/>
    <n v="473"/>
    <n v="2323849"/>
  </r>
  <r>
    <x v="8"/>
    <x v="7"/>
    <s v="Rahul Sharma"/>
    <x v="2"/>
    <x v="8"/>
    <n v="330"/>
    <n v="2272380"/>
  </r>
  <r>
    <x v="24"/>
    <x v="1"/>
    <s v="Neha Joshi"/>
    <x v="4"/>
    <x v="9"/>
    <n v="79"/>
    <n v="414434"/>
  </r>
  <r>
    <x v="42"/>
    <x v="3"/>
    <s v="Rahul Sharma"/>
    <x v="2"/>
    <x v="7"/>
    <n v="481"/>
    <n v="933140"/>
  </r>
  <r>
    <x v="215"/>
    <x v="4"/>
    <s v="Rahul Sharma"/>
    <x v="1"/>
    <x v="4"/>
    <n v="449"/>
    <n v="2978666"/>
  </r>
  <r>
    <x v="133"/>
    <x v="4"/>
    <s v="Sneha Kapoor"/>
    <x v="2"/>
    <x v="3"/>
    <n v="32"/>
    <n v="169952"/>
  </r>
  <r>
    <x v="216"/>
    <x v="3"/>
    <s v="Sneha Kapoor"/>
    <x v="0"/>
    <x v="9"/>
    <n v="385"/>
    <n v="644490"/>
  </r>
  <r>
    <x v="217"/>
    <x v="7"/>
    <s v="Karan Mehta"/>
    <x v="6"/>
    <x v="1"/>
    <n v="126"/>
    <n v="593838"/>
  </r>
  <r>
    <x v="2"/>
    <x v="8"/>
    <s v="Anjali Rao"/>
    <x v="3"/>
    <x v="7"/>
    <n v="278"/>
    <n v="1273240"/>
  </r>
  <r>
    <x v="186"/>
    <x v="5"/>
    <s v="Vikas Singh"/>
    <x v="0"/>
    <x v="0"/>
    <n v="254"/>
    <n v="1535430"/>
  </r>
  <r>
    <x v="1"/>
    <x v="4"/>
    <s v="Karan Mehta"/>
    <x v="6"/>
    <x v="9"/>
    <n v="492"/>
    <n v="3917796"/>
  </r>
  <r>
    <x v="218"/>
    <x v="5"/>
    <s v="Anjali Rao"/>
    <x v="5"/>
    <x v="8"/>
    <n v="290"/>
    <n v="1313410"/>
  </r>
  <r>
    <x v="49"/>
    <x v="7"/>
    <s v="Rahul Sharma"/>
    <x v="3"/>
    <x v="4"/>
    <n v="365"/>
    <n v="426320"/>
  </r>
  <r>
    <x v="219"/>
    <x v="2"/>
    <s v="Vikas Singh"/>
    <x v="0"/>
    <x v="5"/>
    <n v="396"/>
    <n v="2183940"/>
  </r>
  <r>
    <x v="220"/>
    <x v="1"/>
    <s v="Rahul Sharma"/>
    <x v="3"/>
    <x v="7"/>
    <n v="246"/>
    <n v="416232"/>
  </r>
  <r>
    <x v="207"/>
    <x v="6"/>
    <s v="Neha Joshi"/>
    <x v="1"/>
    <x v="1"/>
    <n v="159"/>
    <n v="512457"/>
  </r>
  <r>
    <x v="221"/>
    <x v="2"/>
    <s v="Anjali Rao"/>
    <x v="2"/>
    <x v="6"/>
    <n v="331"/>
    <n v="945336"/>
  </r>
  <r>
    <x v="222"/>
    <x v="9"/>
    <s v="Vikas Singh"/>
    <x v="0"/>
    <x v="5"/>
    <n v="215"/>
    <n v="1707745"/>
  </r>
  <r>
    <x v="192"/>
    <x v="5"/>
    <s v="Sneha Kapoor"/>
    <x v="2"/>
    <x v="5"/>
    <n v="208"/>
    <n v="987792"/>
  </r>
  <r>
    <x v="219"/>
    <x v="4"/>
    <s v="Neha Joshi"/>
    <x v="2"/>
    <x v="0"/>
    <n v="370"/>
    <n v="528360"/>
  </r>
  <r>
    <x v="223"/>
    <x v="0"/>
    <s v="Neha Joshi"/>
    <x v="5"/>
    <x v="1"/>
    <n v="158"/>
    <n v="178066"/>
  </r>
  <r>
    <x v="139"/>
    <x v="5"/>
    <s v="Karan Mehta"/>
    <x v="5"/>
    <x v="6"/>
    <n v="472"/>
    <n v="3209600"/>
  </r>
  <r>
    <x v="167"/>
    <x v="5"/>
    <s v="Sneha Kapoor"/>
    <x v="4"/>
    <x v="6"/>
    <n v="325"/>
    <n v="1989000"/>
  </r>
  <r>
    <x v="46"/>
    <x v="8"/>
    <s v="Vikas Singh"/>
    <x v="2"/>
    <x v="3"/>
    <n v="184"/>
    <n v="627992"/>
  </r>
  <r>
    <x v="224"/>
    <x v="1"/>
    <s v="Neha Joshi"/>
    <x v="4"/>
    <x v="4"/>
    <n v="460"/>
    <n v="2608660"/>
  </r>
  <r>
    <x v="225"/>
    <x v="4"/>
    <s v="Vikas Singh"/>
    <x v="4"/>
    <x v="7"/>
    <n v="347"/>
    <n v="1917522"/>
  </r>
  <r>
    <x v="88"/>
    <x v="2"/>
    <s v="Anjali Rao"/>
    <x v="4"/>
    <x v="3"/>
    <n v="98"/>
    <n v="449918"/>
  </r>
  <r>
    <x v="226"/>
    <x v="1"/>
    <s v="Rahul Sharma"/>
    <x v="5"/>
    <x v="5"/>
    <n v="186"/>
    <n v="1426434"/>
  </r>
  <r>
    <x v="43"/>
    <x v="1"/>
    <s v="Sneha Kapoor"/>
    <x v="6"/>
    <x v="0"/>
    <n v="353"/>
    <n v="1349872"/>
  </r>
  <r>
    <x v="165"/>
    <x v="0"/>
    <s v="Rahul Sharma"/>
    <x v="1"/>
    <x v="7"/>
    <n v="78"/>
    <n v="361374"/>
  </r>
  <r>
    <x v="196"/>
    <x v="3"/>
    <s v="Amit Verma"/>
    <x v="5"/>
    <x v="6"/>
    <n v="27"/>
    <n v="182088"/>
  </r>
  <r>
    <x v="127"/>
    <x v="5"/>
    <s v="Rahul Sharma"/>
    <x v="0"/>
    <x v="1"/>
    <n v="235"/>
    <n v="1456295"/>
  </r>
  <r>
    <x v="166"/>
    <x v="7"/>
    <s v="Anjali Rao"/>
    <x v="2"/>
    <x v="3"/>
    <n v="410"/>
    <n v="630170"/>
  </r>
  <r>
    <x v="227"/>
    <x v="1"/>
    <s v="Karan Mehta"/>
    <x v="0"/>
    <x v="9"/>
    <n v="196"/>
    <n v="292628"/>
  </r>
  <r>
    <x v="92"/>
    <x v="4"/>
    <s v="Vikas Singh"/>
    <x v="3"/>
    <x v="0"/>
    <n v="111"/>
    <n v="595626"/>
  </r>
  <r>
    <x v="209"/>
    <x v="5"/>
    <s v="Neha Joshi"/>
    <x v="3"/>
    <x v="5"/>
    <n v="365"/>
    <n v="1955305"/>
  </r>
  <r>
    <x v="77"/>
    <x v="3"/>
    <s v="Sneha Kapoor"/>
    <x v="6"/>
    <x v="6"/>
    <n v="224"/>
    <n v="1056832"/>
  </r>
  <r>
    <x v="134"/>
    <x v="6"/>
    <s v="Neha Joshi"/>
    <x v="0"/>
    <x v="7"/>
    <n v="120"/>
    <n v="691560"/>
  </r>
  <r>
    <x v="228"/>
    <x v="8"/>
    <s v="Vikas Singh"/>
    <x v="5"/>
    <x v="5"/>
    <n v="240"/>
    <n v="1697040"/>
  </r>
  <r>
    <x v="80"/>
    <x v="8"/>
    <s v="Priya Nair"/>
    <x v="2"/>
    <x v="6"/>
    <n v="17"/>
    <n v="96050"/>
  </r>
  <r>
    <x v="229"/>
    <x v="0"/>
    <s v="Sneha Kapoor"/>
    <x v="0"/>
    <x v="1"/>
    <n v="374"/>
    <n v="1628770"/>
  </r>
  <r>
    <x v="93"/>
    <x v="1"/>
    <s v="Sneha Kapoor"/>
    <x v="6"/>
    <x v="6"/>
    <n v="406"/>
    <n v="2306080"/>
  </r>
  <r>
    <x v="230"/>
    <x v="7"/>
    <s v="Neha Joshi"/>
    <x v="0"/>
    <x v="5"/>
    <n v="358"/>
    <n v="2227118"/>
  </r>
  <r>
    <x v="231"/>
    <x v="8"/>
    <s v="Karan Mehta"/>
    <x v="4"/>
    <x v="7"/>
    <n v="221"/>
    <n v="390728"/>
  </r>
  <r>
    <x v="56"/>
    <x v="4"/>
    <s v="Sneha Kapoor"/>
    <x v="6"/>
    <x v="7"/>
    <n v="140"/>
    <n v="658560"/>
  </r>
  <r>
    <x v="232"/>
    <x v="6"/>
    <s v="Karan Mehta"/>
    <x v="1"/>
    <x v="8"/>
    <n v="143"/>
    <n v="563706"/>
  </r>
  <r>
    <x v="174"/>
    <x v="8"/>
    <s v="Amit Verma"/>
    <x v="6"/>
    <x v="3"/>
    <n v="395"/>
    <n v="2089945"/>
  </r>
  <r>
    <x v="21"/>
    <x v="7"/>
    <s v="Amit Verma"/>
    <x v="0"/>
    <x v="6"/>
    <n v="253"/>
    <n v="1912174"/>
  </r>
  <r>
    <x v="233"/>
    <x v="0"/>
    <s v="Neha Joshi"/>
    <x v="0"/>
    <x v="0"/>
    <n v="118"/>
    <n v="498904"/>
  </r>
  <r>
    <x v="133"/>
    <x v="1"/>
    <s v="Neha Joshi"/>
    <x v="6"/>
    <x v="7"/>
    <n v="233"/>
    <n v="660788"/>
  </r>
  <r>
    <x v="35"/>
    <x v="1"/>
    <s v="Priya Nair"/>
    <x v="5"/>
    <x v="5"/>
    <n v="297"/>
    <n v="1893375"/>
  </r>
  <r>
    <x v="98"/>
    <x v="3"/>
    <s v="Vikas Singh"/>
    <x v="4"/>
    <x v="5"/>
    <n v="384"/>
    <n v="693888"/>
  </r>
  <r>
    <x v="151"/>
    <x v="4"/>
    <s v="Vikas Singh"/>
    <x v="2"/>
    <x v="9"/>
    <n v="352"/>
    <n v="1293248"/>
  </r>
  <r>
    <x v="234"/>
    <x v="2"/>
    <s v="Rahul Sharma"/>
    <x v="4"/>
    <x v="8"/>
    <n v="285"/>
    <n v="1782675"/>
  </r>
  <r>
    <x v="175"/>
    <x v="8"/>
    <s v="Anjali Rao"/>
    <x v="4"/>
    <x v="9"/>
    <n v="54"/>
    <n v="158436"/>
  </r>
  <r>
    <x v="235"/>
    <x v="5"/>
    <s v="Rahul Sharma"/>
    <x v="4"/>
    <x v="1"/>
    <n v="208"/>
    <n v="616720"/>
  </r>
  <r>
    <x v="187"/>
    <x v="7"/>
    <s v="Vikas Singh"/>
    <x v="3"/>
    <x v="9"/>
    <n v="490"/>
    <n v="1941380"/>
  </r>
  <r>
    <x v="86"/>
    <x v="1"/>
    <s v="Priya Nair"/>
    <x v="2"/>
    <x v="3"/>
    <n v="68"/>
    <n v="165444"/>
  </r>
  <r>
    <x v="215"/>
    <x v="1"/>
    <s v="Amit Verma"/>
    <x v="4"/>
    <x v="1"/>
    <n v="446"/>
    <n v="2589030"/>
  </r>
  <r>
    <x v="236"/>
    <x v="6"/>
    <s v="Neha Joshi"/>
    <x v="0"/>
    <x v="0"/>
    <n v="343"/>
    <n v="1869693"/>
  </r>
  <r>
    <x v="237"/>
    <x v="9"/>
    <s v="Rahul Sharma"/>
    <x v="3"/>
    <x v="9"/>
    <n v="160"/>
    <n v="434240"/>
  </r>
  <r>
    <x v="4"/>
    <x v="1"/>
    <s v="Anjali Rao"/>
    <x v="4"/>
    <x v="1"/>
    <n v="259"/>
    <n v="1894585"/>
  </r>
  <r>
    <x v="238"/>
    <x v="5"/>
    <s v="Vikas Singh"/>
    <x v="5"/>
    <x v="2"/>
    <n v="211"/>
    <n v="469475"/>
  </r>
  <r>
    <x v="223"/>
    <x v="7"/>
    <s v="Neha Joshi"/>
    <x v="3"/>
    <x v="3"/>
    <n v="144"/>
    <n v="256752"/>
  </r>
  <r>
    <x v="104"/>
    <x v="9"/>
    <s v="Vikas Singh"/>
    <x v="5"/>
    <x v="6"/>
    <n v="305"/>
    <n v="363560"/>
  </r>
  <r>
    <x v="212"/>
    <x v="9"/>
    <s v="Priya Nair"/>
    <x v="3"/>
    <x v="3"/>
    <n v="193"/>
    <n v="430197"/>
  </r>
  <r>
    <x v="153"/>
    <x v="5"/>
    <s v="Priya Nair"/>
    <x v="1"/>
    <x v="0"/>
    <n v="123"/>
    <n v="161745"/>
  </r>
  <r>
    <x v="143"/>
    <x v="2"/>
    <s v="Priya Nair"/>
    <x v="4"/>
    <x v="2"/>
    <n v="323"/>
    <n v="2520369"/>
  </r>
  <r>
    <x v="149"/>
    <x v="6"/>
    <s v="Priya Nair"/>
    <x v="6"/>
    <x v="8"/>
    <n v="106"/>
    <n v="244012"/>
  </r>
  <r>
    <x v="65"/>
    <x v="2"/>
    <s v="Priya Nair"/>
    <x v="1"/>
    <x v="0"/>
    <n v="495"/>
    <n v="1301355"/>
  </r>
  <r>
    <x v="31"/>
    <x v="1"/>
    <s v="Sneha Kapoor"/>
    <x v="1"/>
    <x v="4"/>
    <n v="422"/>
    <n v="2887746"/>
  </r>
  <r>
    <x v="61"/>
    <x v="0"/>
    <s v="Rahul Sharma"/>
    <x v="3"/>
    <x v="8"/>
    <n v="213"/>
    <n v="370407"/>
  </r>
  <r>
    <x v="146"/>
    <x v="2"/>
    <s v="Karan Mehta"/>
    <x v="1"/>
    <x v="5"/>
    <n v="187"/>
    <n v="533511"/>
  </r>
  <r>
    <x v="239"/>
    <x v="1"/>
    <s v="Karan Mehta"/>
    <x v="4"/>
    <x v="7"/>
    <n v="129"/>
    <n v="857076"/>
  </r>
  <r>
    <x v="34"/>
    <x v="0"/>
    <s v="Vikas Singh"/>
    <x v="5"/>
    <x v="9"/>
    <n v="103"/>
    <n v="660539"/>
  </r>
  <r>
    <x v="240"/>
    <x v="0"/>
    <s v="Priya Nair"/>
    <x v="2"/>
    <x v="8"/>
    <n v="182"/>
    <n v="892892"/>
  </r>
  <r>
    <x v="241"/>
    <x v="7"/>
    <s v="Sneha Kapoor"/>
    <x v="3"/>
    <x v="3"/>
    <n v="11"/>
    <n v="38676"/>
  </r>
  <r>
    <x v="242"/>
    <x v="1"/>
    <s v="Anjali Rao"/>
    <x v="6"/>
    <x v="2"/>
    <n v="85"/>
    <n v="142375"/>
  </r>
  <r>
    <x v="243"/>
    <x v="3"/>
    <s v="Rahul Sharma"/>
    <x v="3"/>
    <x v="6"/>
    <n v="349"/>
    <n v="2697421"/>
  </r>
  <r>
    <x v="96"/>
    <x v="4"/>
    <s v="Karan Mehta"/>
    <x v="6"/>
    <x v="2"/>
    <n v="106"/>
    <n v="287790"/>
  </r>
  <r>
    <x v="174"/>
    <x v="1"/>
    <s v="Amit Verma"/>
    <x v="0"/>
    <x v="8"/>
    <n v="457"/>
    <n v="2293226"/>
  </r>
  <r>
    <x v="98"/>
    <x v="3"/>
    <s v="Neha Joshi"/>
    <x v="6"/>
    <x v="3"/>
    <n v="443"/>
    <n v="2064823"/>
  </r>
  <r>
    <x v="14"/>
    <x v="9"/>
    <s v="Neha Joshi"/>
    <x v="1"/>
    <x v="9"/>
    <n v="359"/>
    <n v="999815"/>
  </r>
  <r>
    <x v="244"/>
    <x v="1"/>
    <s v="Neha Joshi"/>
    <x v="4"/>
    <x v="4"/>
    <n v="97"/>
    <n v="518368"/>
  </r>
  <r>
    <x v="62"/>
    <x v="7"/>
    <s v="Sneha Kapoor"/>
    <x v="0"/>
    <x v="7"/>
    <n v="23"/>
    <n v="133584"/>
  </r>
  <r>
    <x v="130"/>
    <x v="2"/>
    <s v="Vikas Singh"/>
    <x v="5"/>
    <x v="0"/>
    <n v="443"/>
    <n v="1732573"/>
  </r>
  <r>
    <x v="157"/>
    <x v="0"/>
    <s v="Priya Nair"/>
    <x v="3"/>
    <x v="5"/>
    <n v="476"/>
    <n v="3302488"/>
  </r>
  <r>
    <x v="245"/>
    <x v="0"/>
    <s v="Anjali Rao"/>
    <x v="3"/>
    <x v="5"/>
    <n v="444"/>
    <n v="2202684"/>
  </r>
  <r>
    <x v="246"/>
    <x v="5"/>
    <s v="Karan Mehta"/>
    <x v="5"/>
    <x v="8"/>
    <n v="42"/>
    <n v="245280"/>
  </r>
  <r>
    <x v="247"/>
    <x v="6"/>
    <s v="Amit Verma"/>
    <x v="4"/>
    <x v="1"/>
    <n v="395"/>
    <n v="1986455"/>
  </r>
  <r>
    <x v="248"/>
    <x v="2"/>
    <s v="Sneha Kapoor"/>
    <x v="2"/>
    <x v="3"/>
    <n v="465"/>
    <n v="3334515"/>
  </r>
  <r>
    <x v="80"/>
    <x v="1"/>
    <s v="Rahul Sharma"/>
    <x v="4"/>
    <x v="6"/>
    <n v="497"/>
    <n v="911498"/>
  </r>
  <r>
    <x v="154"/>
    <x v="1"/>
    <s v="Neha Joshi"/>
    <x v="0"/>
    <x v="7"/>
    <n v="134"/>
    <n v="390744"/>
  </r>
  <r>
    <x v="107"/>
    <x v="5"/>
    <s v="Karan Mehta"/>
    <x v="3"/>
    <x v="9"/>
    <n v="339"/>
    <n v="1643811"/>
  </r>
  <r>
    <x v="249"/>
    <x v="3"/>
    <s v="Priya Nair"/>
    <x v="3"/>
    <x v="1"/>
    <n v="138"/>
    <n v="167532"/>
  </r>
  <r>
    <x v="39"/>
    <x v="9"/>
    <s v="Rahul Sharma"/>
    <x v="1"/>
    <x v="5"/>
    <n v="155"/>
    <n v="225835"/>
  </r>
  <r>
    <x v="250"/>
    <x v="7"/>
    <s v="Amit Verma"/>
    <x v="3"/>
    <x v="3"/>
    <n v="480"/>
    <n v="606720"/>
  </r>
  <r>
    <x v="251"/>
    <x v="5"/>
    <s v="Karan Mehta"/>
    <x v="6"/>
    <x v="5"/>
    <n v="387"/>
    <n v="851013"/>
  </r>
  <r>
    <x v="252"/>
    <x v="0"/>
    <s v="Priya Nair"/>
    <x v="0"/>
    <x v="2"/>
    <n v="300"/>
    <n v="1960200"/>
  </r>
  <r>
    <x v="52"/>
    <x v="2"/>
    <s v="Neha Joshi"/>
    <x v="6"/>
    <x v="2"/>
    <n v="327"/>
    <n v="338772"/>
  </r>
  <r>
    <x v="200"/>
    <x v="8"/>
    <s v="Sneha Kapoor"/>
    <x v="2"/>
    <x v="0"/>
    <n v="451"/>
    <n v="3152039"/>
  </r>
  <r>
    <x v="253"/>
    <x v="1"/>
    <s v="Amit Verma"/>
    <x v="4"/>
    <x v="5"/>
    <n v="236"/>
    <n v="489228"/>
  </r>
  <r>
    <x v="74"/>
    <x v="5"/>
    <s v="Karan Mehta"/>
    <x v="3"/>
    <x v="0"/>
    <n v="172"/>
    <n v="427936"/>
  </r>
  <r>
    <x v="214"/>
    <x v="9"/>
    <s v="Rahul Sharma"/>
    <x v="6"/>
    <x v="0"/>
    <n v="463"/>
    <n v="1188984"/>
  </r>
  <r>
    <x v="33"/>
    <x v="0"/>
    <s v="Amit Verma"/>
    <x v="2"/>
    <x v="0"/>
    <n v="96"/>
    <n v="560160"/>
  </r>
  <r>
    <x v="9"/>
    <x v="0"/>
    <s v="Neha Joshi"/>
    <x v="2"/>
    <x v="4"/>
    <n v="72"/>
    <n v="170856"/>
  </r>
  <r>
    <x v="101"/>
    <x v="5"/>
    <s v="Amit Verma"/>
    <x v="3"/>
    <x v="6"/>
    <n v="10"/>
    <n v="39960"/>
  </r>
  <r>
    <x v="254"/>
    <x v="4"/>
    <s v="Sneha Kapoor"/>
    <x v="5"/>
    <x v="5"/>
    <n v="196"/>
    <n v="743428"/>
  </r>
  <r>
    <x v="12"/>
    <x v="3"/>
    <s v="Karan Mehta"/>
    <x v="6"/>
    <x v="5"/>
    <n v="118"/>
    <n v="598378"/>
  </r>
  <r>
    <x v="72"/>
    <x v="7"/>
    <s v="Neha Joshi"/>
    <x v="5"/>
    <x v="2"/>
    <n v="299"/>
    <n v="2159677"/>
  </r>
  <r>
    <x v="47"/>
    <x v="9"/>
    <s v="Rahul Sharma"/>
    <x v="6"/>
    <x v="8"/>
    <n v="65"/>
    <n v="255060"/>
  </r>
  <r>
    <x v="108"/>
    <x v="1"/>
    <s v="Vikas Singh"/>
    <x v="3"/>
    <x v="9"/>
    <n v="90"/>
    <n v="646380"/>
  </r>
  <r>
    <x v="240"/>
    <x v="9"/>
    <s v="Anjali Rao"/>
    <x v="3"/>
    <x v="2"/>
    <n v="138"/>
    <n v="556002"/>
  </r>
  <r>
    <x v="255"/>
    <x v="7"/>
    <s v="Sneha Kapoor"/>
    <x v="4"/>
    <x v="0"/>
    <n v="417"/>
    <n v="2729265"/>
  </r>
  <r>
    <x v="221"/>
    <x v="5"/>
    <s v="Rahul Sharma"/>
    <x v="6"/>
    <x v="7"/>
    <n v="48"/>
    <n v="98928"/>
  </r>
  <r>
    <x v="42"/>
    <x v="0"/>
    <s v="Neha Joshi"/>
    <x v="3"/>
    <x v="9"/>
    <n v="74"/>
    <n v="404336"/>
  </r>
  <r>
    <x v="45"/>
    <x v="9"/>
    <s v="Priya Nair"/>
    <x v="1"/>
    <x v="9"/>
    <n v="253"/>
    <n v="669944"/>
  </r>
  <r>
    <x v="61"/>
    <x v="8"/>
    <s v="Sneha Kapoor"/>
    <x v="5"/>
    <x v="1"/>
    <n v="318"/>
    <n v="1354680"/>
  </r>
  <r>
    <x v="57"/>
    <x v="3"/>
    <s v="Neha Joshi"/>
    <x v="4"/>
    <x v="5"/>
    <n v="131"/>
    <n v="145410"/>
  </r>
  <r>
    <x v="32"/>
    <x v="6"/>
    <s v="Karan Mehta"/>
    <x v="2"/>
    <x v="3"/>
    <n v="42"/>
    <n v="166152"/>
  </r>
  <r>
    <x v="46"/>
    <x v="3"/>
    <s v="Vikas Singh"/>
    <x v="5"/>
    <x v="1"/>
    <n v="499"/>
    <n v="2399691"/>
  </r>
  <r>
    <x v="240"/>
    <x v="0"/>
    <s v="Anjali Rao"/>
    <x v="4"/>
    <x v="2"/>
    <n v="187"/>
    <n v="549780"/>
  </r>
  <r>
    <x v="254"/>
    <x v="3"/>
    <s v="Amit Verma"/>
    <x v="5"/>
    <x v="7"/>
    <n v="374"/>
    <n v="766326"/>
  </r>
  <r>
    <x v="256"/>
    <x v="7"/>
    <s v="Rahul Sharma"/>
    <x v="3"/>
    <x v="1"/>
    <n v="180"/>
    <n v="1206900"/>
  </r>
  <r>
    <x v="13"/>
    <x v="4"/>
    <s v="Karan Mehta"/>
    <x v="5"/>
    <x v="4"/>
    <n v="412"/>
    <n v="1937224"/>
  </r>
  <r>
    <x v="163"/>
    <x v="5"/>
    <s v="Anjali Rao"/>
    <x v="1"/>
    <x v="8"/>
    <n v="435"/>
    <n v="2145855"/>
  </r>
  <r>
    <x v="196"/>
    <x v="9"/>
    <s v="Karan Mehta"/>
    <x v="6"/>
    <x v="0"/>
    <n v="130"/>
    <n v="318890"/>
  </r>
  <r>
    <x v="257"/>
    <x v="1"/>
    <s v="Priya Nair"/>
    <x v="6"/>
    <x v="1"/>
    <n v="14"/>
    <n v="83622"/>
  </r>
  <r>
    <x v="134"/>
    <x v="6"/>
    <s v="Neha Joshi"/>
    <x v="5"/>
    <x v="4"/>
    <n v="103"/>
    <n v="558981"/>
  </r>
  <r>
    <x v="258"/>
    <x v="8"/>
    <s v="Neha Joshi"/>
    <x v="4"/>
    <x v="3"/>
    <n v="138"/>
    <n v="818892"/>
  </r>
  <r>
    <x v="33"/>
    <x v="8"/>
    <s v="Sneha Kapoor"/>
    <x v="6"/>
    <x v="3"/>
    <n v="263"/>
    <n v="1650588"/>
  </r>
  <r>
    <x v="200"/>
    <x v="6"/>
    <s v="Rahul Sharma"/>
    <x v="2"/>
    <x v="3"/>
    <n v="257"/>
    <n v="1166523"/>
  </r>
  <r>
    <x v="212"/>
    <x v="3"/>
    <s v="Sneha Kapoor"/>
    <x v="4"/>
    <x v="6"/>
    <n v="387"/>
    <n v="988785"/>
  </r>
  <r>
    <x v="208"/>
    <x v="0"/>
    <s v="Anjali Rao"/>
    <x v="0"/>
    <x v="4"/>
    <n v="368"/>
    <n v="1448080"/>
  </r>
  <r>
    <x v="259"/>
    <x v="7"/>
    <s v="Neha Joshi"/>
    <x v="5"/>
    <x v="0"/>
    <n v="32"/>
    <n v="77376"/>
  </r>
  <r>
    <x v="260"/>
    <x v="4"/>
    <s v="Priya Nair"/>
    <x v="5"/>
    <x v="1"/>
    <n v="172"/>
    <n v="847788"/>
  </r>
  <r>
    <x v="261"/>
    <x v="5"/>
    <s v="Rahul Sharma"/>
    <x v="6"/>
    <x v="1"/>
    <n v="292"/>
    <n v="1169752"/>
  </r>
  <r>
    <x v="226"/>
    <x v="8"/>
    <s v="Karan Mehta"/>
    <x v="0"/>
    <x v="0"/>
    <n v="174"/>
    <n v="1027296"/>
  </r>
  <r>
    <x v="236"/>
    <x v="4"/>
    <s v="Vikas Singh"/>
    <x v="1"/>
    <x v="1"/>
    <n v="479"/>
    <n v="1284678"/>
  </r>
  <r>
    <x v="16"/>
    <x v="6"/>
    <s v="Priya Nair"/>
    <x v="0"/>
    <x v="3"/>
    <n v="128"/>
    <n v="217856"/>
  </r>
  <r>
    <x v="84"/>
    <x v="2"/>
    <s v="Vikas Singh"/>
    <x v="1"/>
    <x v="5"/>
    <n v="378"/>
    <n v="774522"/>
  </r>
  <r>
    <x v="262"/>
    <x v="6"/>
    <s v="Rahul Sharma"/>
    <x v="4"/>
    <x v="0"/>
    <n v="420"/>
    <n v="1805160"/>
  </r>
  <r>
    <x v="60"/>
    <x v="1"/>
    <s v="Anjali Rao"/>
    <x v="3"/>
    <x v="5"/>
    <n v="270"/>
    <n v="492750"/>
  </r>
  <r>
    <x v="207"/>
    <x v="5"/>
    <s v="Amit Verma"/>
    <x v="6"/>
    <x v="8"/>
    <n v="168"/>
    <n v="1070160"/>
  </r>
  <r>
    <x v="167"/>
    <x v="5"/>
    <s v="Sneha Kapoor"/>
    <x v="4"/>
    <x v="0"/>
    <n v="122"/>
    <n v="500688"/>
  </r>
  <r>
    <x v="0"/>
    <x v="8"/>
    <s v="Karan Mehta"/>
    <x v="5"/>
    <x v="0"/>
    <n v="374"/>
    <n v="1218866"/>
  </r>
  <r>
    <x v="113"/>
    <x v="9"/>
    <s v="Karan Mehta"/>
    <x v="0"/>
    <x v="4"/>
    <n v="310"/>
    <n v="1816910"/>
  </r>
  <r>
    <x v="263"/>
    <x v="3"/>
    <s v="Amit Verma"/>
    <x v="2"/>
    <x v="4"/>
    <n v="424"/>
    <n v="3216040"/>
  </r>
  <r>
    <x v="159"/>
    <x v="8"/>
    <s v="Vikas Singh"/>
    <x v="5"/>
    <x v="7"/>
    <n v="189"/>
    <n v="1496124"/>
  </r>
  <r>
    <x v="198"/>
    <x v="3"/>
    <s v="Karan Mehta"/>
    <x v="2"/>
    <x v="6"/>
    <n v="330"/>
    <n v="2239710"/>
  </r>
  <r>
    <x v="21"/>
    <x v="6"/>
    <s v="Sneha Kapoor"/>
    <x v="6"/>
    <x v="7"/>
    <n v="453"/>
    <n v="2833968"/>
  </r>
  <r>
    <x v="3"/>
    <x v="3"/>
    <s v="Rahul Sharma"/>
    <x v="1"/>
    <x v="8"/>
    <n v="151"/>
    <n v="1061530"/>
  </r>
  <r>
    <x v="201"/>
    <x v="3"/>
    <s v="Sneha Kapoor"/>
    <x v="3"/>
    <x v="5"/>
    <n v="161"/>
    <n v="1221990"/>
  </r>
  <r>
    <x v="19"/>
    <x v="9"/>
    <s v="Karan Mehta"/>
    <x v="1"/>
    <x v="6"/>
    <n v="133"/>
    <n v="461244"/>
  </r>
  <r>
    <x v="56"/>
    <x v="1"/>
    <s v="Priya Nair"/>
    <x v="0"/>
    <x v="6"/>
    <n v="354"/>
    <n v="1320420"/>
  </r>
  <r>
    <x v="217"/>
    <x v="4"/>
    <s v="Anjali Rao"/>
    <x v="0"/>
    <x v="0"/>
    <n v="67"/>
    <n v="1417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574EE6-9849-49FF-AD5B-DF0EE7A69E38}" name="PivotTable7"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13:D14" firstHeaderRow="1" firstDataRow="1" firstDataCol="0"/>
  <pivotFields count="7">
    <pivotField numFmtId="170" showAll="0">
      <items count="265">
        <item x="6"/>
        <item x="214"/>
        <item x="129"/>
        <item x="85"/>
        <item x="195"/>
        <item x="245"/>
        <item x="113"/>
        <item x="241"/>
        <item x="80"/>
        <item x="182"/>
        <item x="204"/>
        <item x="189"/>
        <item x="136"/>
        <item x="229"/>
        <item x="106"/>
        <item x="240"/>
        <item x="244"/>
        <item x="36"/>
        <item x="61"/>
        <item x="200"/>
        <item x="213"/>
        <item x="175"/>
        <item x="93"/>
        <item x="150"/>
        <item x="108"/>
        <item x="254"/>
        <item x="164"/>
        <item x="15"/>
        <item x="155"/>
        <item x="99"/>
        <item x="231"/>
        <item x="103"/>
        <item x="112"/>
        <item x="222"/>
        <item x="207"/>
        <item x="184"/>
        <item x="152"/>
        <item x="255"/>
        <item x="226"/>
        <item x="28"/>
        <item x="206"/>
        <item x="25"/>
        <item x="63"/>
        <item x="69"/>
        <item x="142"/>
        <item x="38"/>
        <item x="59"/>
        <item x="260"/>
        <item x="1"/>
        <item x="146"/>
        <item x="223"/>
        <item x="127"/>
        <item x="111"/>
        <item x="258"/>
        <item x="148"/>
        <item x="225"/>
        <item x="44"/>
        <item x="35"/>
        <item x="235"/>
        <item x="64"/>
        <item x="47"/>
        <item x="74"/>
        <item x="208"/>
        <item x="243"/>
        <item x="174"/>
        <item x="176"/>
        <item x="107"/>
        <item x="48"/>
        <item x="37"/>
        <item x="54"/>
        <item x="3"/>
        <item x="30"/>
        <item x="27"/>
        <item x="132"/>
        <item x="197"/>
        <item x="147"/>
        <item x="56"/>
        <item x="125"/>
        <item x="92"/>
        <item x="247"/>
        <item x="165"/>
        <item x="12"/>
        <item x="145"/>
        <item x="20"/>
        <item x="34"/>
        <item x="234"/>
        <item x="119"/>
        <item x="186"/>
        <item x="140"/>
        <item x="105"/>
        <item x="23"/>
        <item x="115"/>
        <item x="210"/>
        <item x="131"/>
        <item x="2"/>
        <item x="157"/>
        <item x="53"/>
        <item x="21"/>
        <item x="139"/>
        <item x="187"/>
        <item x="128"/>
        <item x="81"/>
        <item x="137"/>
        <item x="130"/>
        <item x="185"/>
        <item x="239"/>
        <item x="212"/>
        <item x="7"/>
        <item x="190"/>
        <item x="242"/>
        <item x="98"/>
        <item x="192"/>
        <item x="70"/>
        <item x="201"/>
        <item x="257"/>
        <item x="24"/>
        <item x="89"/>
        <item x="67"/>
        <item x="211"/>
        <item x="73"/>
        <item x="43"/>
        <item x="262"/>
        <item x="193"/>
        <item x="179"/>
        <item x="177"/>
        <item x="249"/>
        <item x="52"/>
        <item x="163"/>
        <item x="188"/>
        <item x="123"/>
        <item x="138"/>
        <item x="224"/>
        <item x="238"/>
        <item x="26"/>
        <item x="88"/>
        <item x="110"/>
        <item x="221"/>
        <item x="261"/>
        <item x="205"/>
        <item x="120"/>
        <item x="31"/>
        <item x="198"/>
        <item x="9"/>
        <item x="216"/>
        <item x="134"/>
        <item x="11"/>
        <item x="161"/>
        <item x="167"/>
        <item x="219"/>
        <item x="86"/>
        <item x="78"/>
        <item x="178"/>
        <item x="22"/>
        <item x="191"/>
        <item x="160"/>
        <item x="236"/>
        <item x="13"/>
        <item x="220"/>
        <item x="202"/>
        <item x="8"/>
        <item x="41"/>
        <item x="14"/>
        <item x="232"/>
        <item x="10"/>
        <item x="153"/>
        <item x="168"/>
        <item x="109"/>
        <item x="39"/>
        <item x="91"/>
        <item x="180"/>
        <item x="253"/>
        <item x="79"/>
        <item x="5"/>
        <item x="87"/>
        <item x="45"/>
        <item x="173"/>
        <item x="72"/>
        <item x="252"/>
        <item x="170"/>
        <item x="159"/>
        <item x="246"/>
        <item x="57"/>
        <item x="194"/>
        <item x="51"/>
        <item x="133"/>
        <item x="124"/>
        <item x="55"/>
        <item x="162"/>
        <item x="166"/>
        <item x="100"/>
        <item x="233"/>
        <item x="199"/>
        <item x="230"/>
        <item x="196"/>
        <item x="158"/>
        <item x="141"/>
        <item x="116"/>
        <item x="259"/>
        <item x="46"/>
        <item x="118"/>
        <item x="49"/>
        <item x="256"/>
        <item x="60"/>
        <item x="66"/>
        <item x="68"/>
        <item x="104"/>
        <item x="114"/>
        <item x="71"/>
        <item x="32"/>
        <item x="248"/>
        <item x="58"/>
        <item x="143"/>
        <item x="33"/>
        <item x="17"/>
        <item x="77"/>
        <item x="209"/>
        <item x="4"/>
        <item x="149"/>
        <item x="102"/>
        <item x="237"/>
        <item x="250"/>
        <item x="42"/>
        <item x="40"/>
        <item x="227"/>
        <item x="84"/>
        <item x="75"/>
        <item x="19"/>
        <item x="0"/>
        <item x="16"/>
        <item x="263"/>
        <item x="18"/>
        <item x="95"/>
        <item x="94"/>
        <item x="151"/>
        <item x="83"/>
        <item x="228"/>
        <item x="101"/>
        <item x="203"/>
        <item x="50"/>
        <item x="117"/>
        <item x="29"/>
        <item x="144"/>
        <item x="181"/>
        <item x="96"/>
        <item x="90"/>
        <item x="126"/>
        <item x="82"/>
        <item x="135"/>
        <item x="156"/>
        <item x="97"/>
        <item x="215"/>
        <item x="121"/>
        <item x="172"/>
        <item x="169"/>
        <item x="122"/>
        <item x="218"/>
        <item x="62"/>
        <item x="251"/>
        <item x="171"/>
        <item x="76"/>
        <item x="65"/>
        <item x="154"/>
        <item x="183"/>
        <item x="217"/>
        <item t="default"/>
      </items>
    </pivotField>
    <pivotField dataField="1" showAll="0">
      <items count="11">
        <item x="7"/>
        <item x="4"/>
        <item x="2"/>
        <item x="3"/>
        <item x="1"/>
        <item x="0"/>
        <item x="6"/>
        <item x="9"/>
        <item x="5"/>
        <item x="8"/>
        <item t="default"/>
      </items>
    </pivotField>
    <pivotField showAll="0"/>
    <pivotField showAll="0"/>
    <pivotField showAll="0"/>
    <pivotField showAll="0"/>
    <pivotField showAll="0"/>
  </pivotFields>
  <rowItems count="1">
    <i/>
  </rowItems>
  <colItems count="1">
    <i/>
  </colItems>
  <dataFields count="1">
    <dataField name="Count of Course Name" fld="1"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753315-9643-4DA0-9DD3-B4538DB10592}" name="PivotTable6"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10:D11" firstHeaderRow="1" firstDataRow="1" firstDataCol="0"/>
  <pivotFields count="7">
    <pivotField numFmtId="170" showAll="0">
      <items count="265">
        <item x="6"/>
        <item x="214"/>
        <item x="129"/>
        <item x="85"/>
        <item x="195"/>
        <item x="245"/>
        <item x="113"/>
        <item x="241"/>
        <item x="80"/>
        <item x="182"/>
        <item x="204"/>
        <item x="189"/>
        <item x="136"/>
        <item x="229"/>
        <item x="106"/>
        <item x="240"/>
        <item x="244"/>
        <item x="36"/>
        <item x="61"/>
        <item x="200"/>
        <item x="213"/>
        <item x="175"/>
        <item x="93"/>
        <item x="150"/>
        <item x="108"/>
        <item x="254"/>
        <item x="164"/>
        <item x="15"/>
        <item x="155"/>
        <item x="99"/>
        <item x="231"/>
        <item x="103"/>
        <item x="112"/>
        <item x="222"/>
        <item x="207"/>
        <item x="184"/>
        <item x="152"/>
        <item x="255"/>
        <item x="226"/>
        <item x="28"/>
        <item x="206"/>
        <item x="25"/>
        <item x="63"/>
        <item x="69"/>
        <item x="142"/>
        <item x="38"/>
        <item x="59"/>
        <item x="260"/>
        <item x="1"/>
        <item x="146"/>
        <item x="223"/>
        <item x="127"/>
        <item x="111"/>
        <item x="258"/>
        <item x="148"/>
        <item x="225"/>
        <item x="44"/>
        <item x="35"/>
        <item x="235"/>
        <item x="64"/>
        <item x="47"/>
        <item x="74"/>
        <item x="208"/>
        <item x="243"/>
        <item x="174"/>
        <item x="176"/>
        <item x="107"/>
        <item x="48"/>
        <item x="37"/>
        <item x="54"/>
        <item x="3"/>
        <item x="30"/>
        <item x="27"/>
        <item x="132"/>
        <item x="197"/>
        <item x="147"/>
        <item x="56"/>
        <item x="125"/>
        <item x="92"/>
        <item x="247"/>
        <item x="165"/>
        <item x="12"/>
        <item x="145"/>
        <item x="20"/>
        <item x="34"/>
        <item x="234"/>
        <item x="119"/>
        <item x="186"/>
        <item x="140"/>
        <item x="105"/>
        <item x="23"/>
        <item x="115"/>
        <item x="210"/>
        <item x="131"/>
        <item x="2"/>
        <item x="157"/>
        <item x="53"/>
        <item x="21"/>
        <item x="139"/>
        <item x="187"/>
        <item x="128"/>
        <item x="81"/>
        <item x="137"/>
        <item x="130"/>
        <item x="185"/>
        <item x="239"/>
        <item x="212"/>
        <item x="7"/>
        <item x="190"/>
        <item x="242"/>
        <item x="98"/>
        <item x="192"/>
        <item x="70"/>
        <item x="201"/>
        <item x="257"/>
        <item x="24"/>
        <item x="89"/>
        <item x="67"/>
        <item x="211"/>
        <item x="73"/>
        <item x="43"/>
        <item x="262"/>
        <item x="193"/>
        <item x="179"/>
        <item x="177"/>
        <item x="249"/>
        <item x="52"/>
        <item x="163"/>
        <item x="188"/>
        <item x="123"/>
        <item x="138"/>
        <item x="224"/>
        <item x="238"/>
        <item x="26"/>
        <item x="88"/>
        <item x="110"/>
        <item x="221"/>
        <item x="261"/>
        <item x="205"/>
        <item x="120"/>
        <item x="31"/>
        <item x="198"/>
        <item x="9"/>
        <item x="216"/>
        <item x="134"/>
        <item x="11"/>
        <item x="161"/>
        <item x="167"/>
        <item x="219"/>
        <item x="86"/>
        <item x="78"/>
        <item x="178"/>
        <item x="22"/>
        <item x="191"/>
        <item x="160"/>
        <item x="236"/>
        <item x="13"/>
        <item x="220"/>
        <item x="202"/>
        <item x="8"/>
        <item x="41"/>
        <item x="14"/>
        <item x="232"/>
        <item x="10"/>
        <item x="153"/>
        <item x="168"/>
        <item x="109"/>
        <item x="39"/>
        <item x="91"/>
        <item x="180"/>
        <item x="253"/>
        <item x="79"/>
        <item x="5"/>
        <item x="87"/>
        <item x="45"/>
        <item x="173"/>
        <item x="72"/>
        <item x="252"/>
        <item x="170"/>
        <item x="159"/>
        <item x="246"/>
        <item x="57"/>
        <item x="194"/>
        <item x="51"/>
        <item x="133"/>
        <item x="124"/>
        <item x="55"/>
        <item x="162"/>
        <item x="166"/>
        <item x="100"/>
        <item x="233"/>
        <item x="199"/>
        <item x="230"/>
        <item x="196"/>
        <item x="158"/>
        <item x="141"/>
        <item x="116"/>
        <item x="259"/>
        <item x="46"/>
        <item x="118"/>
        <item x="49"/>
        <item x="256"/>
        <item x="60"/>
        <item x="66"/>
        <item x="68"/>
        <item x="104"/>
        <item x="114"/>
        <item x="71"/>
        <item x="32"/>
        <item x="248"/>
        <item x="58"/>
        <item x="143"/>
        <item x="33"/>
        <item x="17"/>
        <item x="77"/>
        <item x="209"/>
        <item x="4"/>
        <item x="149"/>
        <item x="102"/>
        <item x="237"/>
        <item x="250"/>
        <item x="42"/>
        <item x="40"/>
        <item x="227"/>
        <item x="84"/>
        <item x="75"/>
        <item x="19"/>
        <item x="0"/>
        <item x="16"/>
        <item x="263"/>
        <item x="18"/>
        <item x="95"/>
        <item x="94"/>
        <item x="151"/>
        <item x="83"/>
        <item x="228"/>
        <item x="101"/>
        <item x="203"/>
        <item x="50"/>
        <item x="117"/>
        <item x="29"/>
        <item x="144"/>
        <item x="181"/>
        <item x="96"/>
        <item x="90"/>
        <item x="126"/>
        <item x="82"/>
        <item x="135"/>
        <item x="156"/>
        <item x="97"/>
        <item x="215"/>
        <item x="121"/>
        <item x="172"/>
        <item x="169"/>
        <item x="122"/>
        <item x="218"/>
        <item x="62"/>
        <item x="251"/>
        <item x="171"/>
        <item x="76"/>
        <item x="65"/>
        <item x="154"/>
        <item x="183"/>
        <item x="217"/>
        <item t="default"/>
      </items>
    </pivotField>
    <pivotField showAll="0">
      <items count="11">
        <item x="7"/>
        <item x="4"/>
        <item x="2"/>
        <item x="3"/>
        <item x="1"/>
        <item x="0"/>
        <item x="6"/>
        <item x="9"/>
        <item x="5"/>
        <item x="8"/>
        <item t="default"/>
      </items>
    </pivotField>
    <pivotField showAll="0"/>
    <pivotField showAll="0"/>
    <pivotField showAll="0"/>
    <pivotField dataField="1" showAll="0"/>
    <pivotField showAll="0"/>
  </pivotFields>
  <rowItems count="1">
    <i/>
  </rowItems>
  <colItems count="1">
    <i/>
  </colItems>
  <dataFields count="1">
    <dataField name="Sum of Enrollments" fld="5"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CA030E-F739-44EA-806B-B750C42B76DF}" name="PivotTable5"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7:D8" firstHeaderRow="1" firstDataRow="1" firstDataCol="0"/>
  <pivotFields count="7">
    <pivotField numFmtId="170" showAll="0">
      <items count="265">
        <item x="6"/>
        <item x="214"/>
        <item x="129"/>
        <item x="85"/>
        <item x="195"/>
        <item x="245"/>
        <item x="113"/>
        <item x="241"/>
        <item x="80"/>
        <item x="182"/>
        <item x="204"/>
        <item x="189"/>
        <item x="136"/>
        <item x="229"/>
        <item x="106"/>
        <item x="240"/>
        <item x="244"/>
        <item x="36"/>
        <item x="61"/>
        <item x="200"/>
        <item x="213"/>
        <item x="175"/>
        <item x="93"/>
        <item x="150"/>
        <item x="108"/>
        <item x="254"/>
        <item x="164"/>
        <item x="15"/>
        <item x="155"/>
        <item x="99"/>
        <item x="231"/>
        <item x="103"/>
        <item x="112"/>
        <item x="222"/>
        <item x="207"/>
        <item x="184"/>
        <item x="152"/>
        <item x="255"/>
        <item x="226"/>
        <item x="28"/>
        <item x="206"/>
        <item x="25"/>
        <item x="63"/>
        <item x="69"/>
        <item x="142"/>
        <item x="38"/>
        <item x="59"/>
        <item x="260"/>
        <item x="1"/>
        <item x="146"/>
        <item x="223"/>
        <item x="127"/>
        <item x="111"/>
        <item x="258"/>
        <item x="148"/>
        <item x="225"/>
        <item x="44"/>
        <item x="35"/>
        <item x="235"/>
        <item x="64"/>
        <item x="47"/>
        <item x="74"/>
        <item x="208"/>
        <item x="243"/>
        <item x="174"/>
        <item x="176"/>
        <item x="107"/>
        <item x="48"/>
        <item x="37"/>
        <item x="54"/>
        <item x="3"/>
        <item x="30"/>
        <item x="27"/>
        <item x="132"/>
        <item x="197"/>
        <item x="147"/>
        <item x="56"/>
        <item x="125"/>
        <item x="92"/>
        <item x="247"/>
        <item x="165"/>
        <item x="12"/>
        <item x="145"/>
        <item x="20"/>
        <item x="34"/>
        <item x="234"/>
        <item x="119"/>
        <item x="186"/>
        <item x="140"/>
        <item x="105"/>
        <item x="23"/>
        <item x="115"/>
        <item x="210"/>
        <item x="131"/>
        <item x="2"/>
        <item x="157"/>
        <item x="53"/>
        <item x="21"/>
        <item x="139"/>
        <item x="187"/>
        <item x="128"/>
        <item x="81"/>
        <item x="137"/>
        <item x="130"/>
        <item x="185"/>
        <item x="239"/>
        <item x="212"/>
        <item x="7"/>
        <item x="190"/>
        <item x="242"/>
        <item x="98"/>
        <item x="192"/>
        <item x="70"/>
        <item x="201"/>
        <item x="257"/>
        <item x="24"/>
        <item x="89"/>
        <item x="67"/>
        <item x="211"/>
        <item x="73"/>
        <item x="43"/>
        <item x="262"/>
        <item x="193"/>
        <item x="179"/>
        <item x="177"/>
        <item x="249"/>
        <item x="52"/>
        <item x="163"/>
        <item x="188"/>
        <item x="123"/>
        <item x="138"/>
        <item x="224"/>
        <item x="238"/>
        <item x="26"/>
        <item x="88"/>
        <item x="110"/>
        <item x="221"/>
        <item x="261"/>
        <item x="205"/>
        <item x="120"/>
        <item x="31"/>
        <item x="198"/>
        <item x="9"/>
        <item x="216"/>
        <item x="134"/>
        <item x="11"/>
        <item x="161"/>
        <item x="167"/>
        <item x="219"/>
        <item x="86"/>
        <item x="78"/>
        <item x="178"/>
        <item x="22"/>
        <item x="191"/>
        <item x="160"/>
        <item x="236"/>
        <item x="13"/>
        <item x="220"/>
        <item x="202"/>
        <item x="8"/>
        <item x="41"/>
        <item x="14"/>
        <item x="232"/>
        <item x="10"/>
        <item x="153"/>
        <item x="168"/>
        <item x="109"/>
        <item x="39"/>
        <item x="91"/>
        <item x="180"/>
        <item x="253"/>
        <item x="79"/>
        <item x="5"/>
        <item x="87"/>
        <item x="45"/>
        <item x="173"/>
        <item x="72"/>
        <item x="252"/>
        <item x="170"/>
        <item x="159"/>
        <item x="246"/>
        <item x="57"/>
        <item x="194"/>
        <item x="51"/>
        <item x="133"/>
        <item x="124"/>
        <item x="55"/>
        <item x="162"/>
        <item x="166"/>
        <item x="100"/>
        <item x="233"/>
        <item x="199"/>
        <item x="230"/>
        <item x="196"/>
        <item x="158"/>
        <item x="141"/>
        <item x="116"/>
        <item x="259"/>
        <item x="46"/>
        <item x="118"/>
        <item x="49"/>
        <item x="256"/>
        <item x="60"/>
        <item x="66"/>
        <item x="68"/>
        <item x="104"/>
        <item x="114"/>
        <item x="71"/>
        <item x="32"/>
        <item x="248"/>
        <item x="58"/>
        <item x="143"/>
        <item x="33"/>
        <item x="17"/>
        <item x="77"/>
        <item x="209"/>
        <item x="4"/>
        <item x="149"/>
        <item x="102"/>
        <item x="237"/>
        <item x="250"/>
        <item x="42"/>
        <item x="40"/>
        <item x="227"/>
        <item x="84"/>
        <item x="75"/>
        <item x="19"/>
        <item x="0"/>
        <item x="16"/>
        <item x="263"/>
        <item x="18"/>
        <item x="95"/>
        <item x="94"/>
        <item x="151"/>
        <item x="83"/>
        <item x="228"/>
        <item x="101"/>
        <item x="203"/>
        <item x="50"/>
        <item x="117"/>
        <item x="29"/>
        <item x="144"/>
        <item x="181"/>
        <item x="96"/>
        <item x="90"/>
        <item x="126"/>
        <item x="82"/>
        <item x="135"/>
        <item x="156"/>
        <item x="97"/>
        <item x="215"/>
        <item x="121"/>
        <item x="172"/>
        <item x="169"/>
        <item x="122"/>
        <item x="218"/>
        <item x="62"/>
        <item x="251"/>
        <item x="171"/>
        <item x="76"/>
        <item x="65"/>
        <item x="154"/>
        <item x="183"/>
        <item x="217"/>
        <item t="default"/>
      </items>
    </pivotField>
    <pivotField showAll="0">
      <items count="11">
        <item x="7"/>
        <item x="4"/>
        <item x="2"/>
        <item x="3"/>
        <item x="1"/>
        <item x="0"/>
        <item x="6"/>
        <item x="9"/>
        <item x="5"/>
        <item x="8"/>
        <item t="default"/>
      </items>
    </pivotField>
    <pivotField showAll="0"/>
    <pivotField showAll="0"/>
    <pivotField showAll="0"/>
    <pivotField showAll="0"/>
    <pivotField dataField="1" showAll="0"/>
  </pivotFields>
  <rowItems count="1">
    <i/>
  </rowItems>
  <colItems count="1">
    <i/>
  </colItems>
  <dataFields count="1">
    <dataField name="Sum of Revenue INR" fld="6" baseField="0" baseItem="0" numFmtId="172"/>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C0DF21-8A68-4265-A157-D4B6C3843FC6}" name="PivotTable4"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F2:G13" firstHeaderRow="1" firstDataRow="1" firstDataCol="1"/>
  <pivotFields count="7">
    <pivotField numFmtId="170" showAll="0">
      <items count="265">
        <item x="6"/>
        <item x="214"/>
        <item x="129"/>
        <item x="85"/>
        <item x="195"/>
        <item x="245"/>
        <item x="113"/>
        <item x="241"/>
        <item x="80"/>
        <item x="182"/>
        <item x="204"/>
        <item x="189"/>
        <item x="136"/>
        <item x="229"/>
        <item x="106"/>
        <item x="240"/>
        <item x="244"/>
        <item x="36"/>
        <item x="61"/>
        <item x="200"/>
        <item x="213"/>
        <item x="175"/>
        <item x="93"/>
        <item x="150"/>
        <item x="108"/>
        <item x="254"/>
        <item x="164"/>
        <item x="15"/>
        <item x="155"/>
        <item x="99"/>
        <item x="231"/>
        <item x="103"/>
        <item x="112"/>
        <item x="222"/>
        <item x="207"/>
        <item x="184"/>
        <item x="152"/>
        <item x="255"/>
        <item x="226"/>
        <item x="28"/>
        <item x="206"/>
        <item x="25"/>
        <item x="63"/>
        <item x="69"/>
        <item x="142"/>
        <item x="38"/>
        <item x="59"/>
        <item x="260"/>
        <item x="1"/>
        <item x="146"/>
        <item x="223"/>
        <item x="127"/>
        <item x="111"/>
        <item x="258"/>
        <item x="148"/>
        <item x="225"/>
        <item x="44"/>
        <item x="35"/>
        <item x="235"/>
        <item x="64"/>
        <item x="47"/>
        <item x="74"/>
        <item x="208"/>
        <item x="243"/>
        <item x="174"/>
        <item x="176"/>
        <item x="107"/>
        <item x="48"/>
        <item x="37"/>
        <item x="54"/>
        <item x="3"/>
        <item x="30"/>
        <item x="27"/>
        <item x="132"/>
        <item x="197"/>
        <item x="147"/>
        <item x="56"/>
        <item x="125"/>
        <item x="92"/>
        <item x="247"/>
        <item x="165"/>
        <item x="12"/>
        <item x="145"/>
        <item x="20"/>
        <item x="34"/>
        <item x="234"/>
        <item x="119"/>
        <item x="186"/>
        <item x="140"/>
        <item x="105"/>
        <item x="23"/>
        <item x="115"/>
        <item x="210"/>
        <item x="131"/>
        <item x="2"/>
        <item x="157"/>
        <item x="53"/>
        <item x="21"/>
        <item x="139"/>
        <item x="187"/>
        <item x="128"/>
        <item x="81"/>
        <item x="137"/>
        <item x="130"/>
        <item x="185"/>
        <item x="239"/>
        <item x="212"/>
        <item x="7"/>
        <item x="190"/>
        <item x="242"/>
        <item x="98"/>
        <item x="192"/>
        <item x="70"/>
        <item x="201"/>
        <item x="257"/>
        <item x="24"/>
        <item x="89"/>
        <item x="67"/>
        <item x="211"/>
        <item x="73"/>
        <item x="43"/>
        <item x="262"/>
        <item x="193"/>
        <item x="179"/>
        <item x="177"/>
        <item x="249"/>
        <item x="52"/>
        <item x="163"/>
        <item x="188"/>
        <item x="123"/>
        <item x="138"/>
        <item x="224"/>
        <item x="238"/>
        <item x="26"/>
        <item x="88"/>
        <item x="110"/>
        <item x="221"/>
        <item x="261"/>
        <item x="205"/>
        <item x="120"/>
        <item x="31"/>
        <item x="198"/>
        <item x="9"/>
        <item x="216"/>
        <item x="134"/>
        <item x="11"/>
        <item x="161"/>
        <item x="167"/>
        <item x="219"/>
        <item x="86"/>
        <item x="78"/>
        <item x="178"/>
        <item x="22"/>
        <item x="191"/>
        <item x="160"/>
        <item x="236"/>
        <item x="13"/>
        <item x="220"/>
        <item x="202"/>
        <item x="8"/>
        <item x="41"/>
        <item x="14"/>
        <item x="232"/>
        <item x="10"/>
        <item x="153"/>
        <item x="168"/>
        <item x="109"/>
        <item x="39"/>
        <item x="91"/>
        <item x="180"/>
        <item x="253"/>
        <item x="79"/>
        <item x="5"/>
        <item x="87"/>
        <item x="45"/>
        <item x="173"/>
        <item x="72"/>
        <item x="252"/>
        <item x="170"/>
        <item x="159"/>
        <item x="246"/>
        <item x="57"/>
        <item x="194"/>
        <item x="51"/>
        <item x="133"/>
        <item x="124"/>
        <item x="55"/>
        <item x="162"/>
        <item x="166"/>
        <item x="100"/>
        <item x="233"/>
        <item x="199"/>
        <item x="230"/>
        <item x="196"/>
        <item x="158"/>
        <item x="141"/>
        <item x="116"/>
        <item x="259"/>
        <item x="46"/>
        <item x="118"/>
        <item x="49"/>
        <item x="256"/>
        <item x="60"/>
        <item x="66"/>
        <item x="68"/>
        <item x="104"/>
        <item x="114"/>
        <item x="71"/>
        <item x="32"/>
        <item x="248"/>
        <item x="58"/>
        <item x="143"/>
        <item x="33"/>
        <item x="17"/>
        <item x="77"/>
        <item x="209"/>
        <item x="4"/>
        <item x="149"/>
        <item x="102"/>
        <item x="237"/>
        <item x="250"/>
        <item x="42"/>
        <item x="40"/>
        <item x="227"/>
        <item x="84"/>
        <item x="75"/>
        <item x="19"/>
        <item x="0"/>
        <item x="16"/>
        <item x="263"/>
        <item x="18"/>
        <item x="95"/>
        <item x="94"/>
        <item x="151"/>
        <item x="83"/>
        <item x="228"/>
        <item x="101"/>
        <item x="203"/>
        <item x="50"/>
        <item x="117"/>
        <item x="29"/>
        <item x="144"/>
        <item x="181"/>
        <item x="96"/>
        <item x="90"/>
        <item x="126"/>
        <item x="82"/>
        <item x="135"/>
        <item x="156"/>
        <item x="97"/>
        <item x="215"/>
        <item x="121"/>
        <item x="172"/>
        <item x="169"/>
        <item x="122"/>
        <item x="218"/>
        <item x="62"/>
        <item x="251"/>
        <item x="171"/>
        <item x="76"/>
        <item x="65"/>
        <item x="154"/>
        <item x="183"/>
        <item x="217"/>
        <item t="default"/>
      </items>
    </pivotField>
    <pivotField showAll="0">
      <items count="11">
        <item x="7"/>
        <item x="4"/>
        <item x="2"/>
        <item x="3"/>
        <item x="1"/>
        <item x="0"/>
        <item x="6"/>
        <item x="9"/>
        <item x="5"/>
        <item x="8"/>
        <item t="default"/>
      </items>
    </pivotField>
    <pivotField showAll="0"/>
    <pivotField showAll="0"/>
    <pivotField axis="axisRow" showAll="0">
      <items count="11">
        <item x="2"/>
        <item x="9"/>
        <item x="1"/>
        <item x="0"/>
        <item x="5"/>
        <item x="8"/>
        <item x="4"/>
        <item x="3"/>
        <item x="7"/>
        <item x="6"/>
        <item t="default"/>
      </items>
    </pivotField>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Sum of Enrollments" fld="5" baseField="0" baseItem="0" numFmtId="1"/>
  </dataFields>
  <formats count="1">
    <format dxfId="13">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934CFC-F468-46AB-B5CD-4CBBA47F093E}" name="Pivo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B13" firstHeaderRow="1" firstDataRow="1" firstDataCol="1"/>
  <pivotFields count="7">
    <pivotField numFmtId="170" showAll="0">
      <items count="265">
        <item x="6"/>
        <item x="214"/>
        <item x="129"/>
        <item x="85"/>
        <item x="195"/>
        <item x="245"/>
        <item x="113"/>
        <item x="241"/>
        <item x="80"/>
        <item x="182"/>
        <item x="204"/>
        <item x="189"/>
        <item x="136"/>
        <item x="229"/>
        <item x="106"/>
        <item x="240"/>
        <item x="244"/>
        <item x="36"/>
        <item x="61"/>
        <item x="200"/>
        <item x="213"/>
        <item x="175"/>
        <item x="93"/>
        <item x="150"/>
        <item x="108"/>
        <item x="254"/>
        <item x="164"/>
        <item x="15"/>
        <item x="155"/>
        <item x="99"/>
        <item x="231"/>
        <item x="103"/>
        <item x="112"/>
        <item x="222"/>
        <item x="207"/>
        <item x="184"/>
        <item x="152"/>
        <item x="255"/>
        <item x="226"/>
        <item x="28"/>
        <item x="206"/>
        <item x="25"/>
        <item x="63"/>
        <item x="69"/>
        <item x="142"/>
        <item x="38"/>
        <item x="59"/>
        <item x="260"/>
        <item x="1"/>
        <item x="146"/>
        <item x="223"/>
        <item x="127"/>
        <item x="111"/>
        <item x="258"/>
        <item x="148"/>
        <item x="225"/>
        <item x="44"/>
        <item x="35"/>
        <item x="235"/>
        <item x="64"/>
        <item x="47"/>
        <item x="74"/>
        <item x="208"/>
        <item x="243"/>
        <item x="174"/>
        <item x="176"/>
        <item x="107"/>
        <item x="48"/>
        <item x="37"/>
        <item x="54"/>
        <item x="3"/>
        <item x="30"/>
        <item x="27"/>
        <item x="132"/>
        <item x="197"/>
        <item x="147"/>
        <item x="56"/>
        <item x="125"/>
        <item x="92"/>
        <item x="247"/>
        <item x="165"/>
        <item x="12"/>
        <item x="145"/>
        <item x="20"/>
        <item x="34"/>
        <item x="234"/>
        <item x="119"/>
        <item x="186"/>
        <item x="140"/>
        <item x="105"/>
        <item x="23"/>
        <item x="115"/>
        <item x="210"/>
        <item x="131"/>
        <item x="2"/>
        <item x="157"/>
        <item x="53"/>
        <item x="21"/>
        <item x="139"/>
        <item x="187"/>
        <item x="128"/>
        <item x="81"/>
        <item x="137"/>
        <item x="130"/>
        <item x="185"/>
        <item x="239"/>
        <item x="212"/>
        <item x="7"/>
        <item x="190"/>
        <item x="242"/>
        <item x="98"/>
        <item x="192"/>
        <item x="70"/>
        <item x="201"/>
        <item x="257"/>
        <item x="24"/>
        <item x="89"/>
        <item x="67"/>
        <item x="211"/>
        <item x="73"/>
        <item x="43"/>
        <item x="262"/>
        <item x="193"/>
        <item x="179"/>
        <item x="177"/>
        <item x="249"/>
        <item x="52"/>
        <item x="163"/>
        <item x="188"/>
        <item x="123"/>
        <item x="138"/>
        <item x="224"/>
        <item x="238"/>
        <item x="26"/>
        <item x="88"/>
        <item x="110"/>
        <item x="221"/>
        <item x="261"/>
        <item x="205"/>
        <item x="120"/>
        <item x="31"/>
        <item x="198"/>
        <item x="9"/>
        <item x="216"/>
        <item x="134"/>
        <item x="11"/>
        <item x="161"/>
        <item x="167"/>
        <item x="219"/>
        <item x="86"/>
        <item x="78"/>
        <item x="178"/>
        <item x="22"/>
        <item x="191"/>
        <item x="160"/>
        <item x="236"/>
        <item x="13"/>
        <item x="220"/>
        <item x="202"/>
        <item x="8"/>
        <item x="41"/>
        <item x="14"/>
        <item x="232"/>
        <item x="10"/>
        <item x="153"/>
        <item x="168"/>
        <item x="109"/>
        <item x="39"/>
        <item x="91"/>
        <item x="180"/>
        <item x="253"/>
        <item x="79"/>
        <item x="5"/>
        <item x="87"/>
        <item x="45"/>
        <item x="173"/>
        <item x="72"/>
        <item x="252"/>
        <item x="170"/>
        <item x="159"/>
        <item x="246"/>
        <item x="57"/>
        <item x="194"/>
        <item x="51"/>
        <item x="133"/>
        <item x="124"/>
        <item x="55"/>
        <item x="162"/>
        <item x="166"/>
        <item x="100"/>
        <item x="233"/>
        <item x="199"/>
        <item x="230"/>
        <item x="196"/>
        <item x="158"/>
        <item x="141"/>
        <item x="116"/>
        <item x="259"/>
        <item x="46"/>
        <item x="118"/>
        <item x="49"/>
        <item x="256"/>
        <item x="60"/>
        <item x="66"/>
        <item x="68"/>
        <item x="104"/>
        <item x="114"/>
        <item x="71"/>
        <item x="32"/>
        <item x="248"/>
        <item x="58"/>
        <item x="143"/>
        <item x="33"/>
        <item x="17"/>
        <item x="77"/>
        <item x="209"/>
        <item x="4"/>
        <item x="149"/>
        <item x="102"/>
        <item x="237"/>
        <item x="250"/>
        <item x="42"/>
        <item x="40"/>
        <item x="227"/>
        <item x="84"/>
        <item x="75"/>
        <item x="19"/>
        <item x="0"/>
        <item x="16"/>
        <item x="263"/>
        <item x="18"/>
        <item x="95"/>
        <item x="94"/>
        <item x="151"/>
        <item x="83"/>
        <item x="228"/>
        <item x="101"/>
        <item x="203"/>
        <item x="50"/>
        <item x="117"/>
        <item x="29"/>
        <item x="144"/>
        <item x="181"/>
        <item x="96"/>
        <item x="90"/>
        <item x="126"/>
        <item x="82"/>
        <item x="135"/>
        <item x="156"/>
        <item x="97"/>
        <item x="215"/>
        <item x="121"/>
        <item x="172"/>
        <item x="169"/>
        <item x="122"/>
        <item x="218"/>
        <item x="62"/>
        <item x="251"/>
        <item x="171"/>
        <item x="76"/>
        <item x="65"/>
        <item x="154"/>
        <item x="183"/>
        <item x="217"/>
        <item t="default"/>
      </items>
    </pivotField>
    <pivotField axis="axisRow" showAll="0">
      <items count="11">
        <item x="7"/>
        <item x="4"/>
        <item x="2"/>
        <item x="3"/>
        <item x="1"/>
        <item x="0"/>
        <item x="6"/>
        <item x="9"/>
        <item x="5"/>
        <item x="8"/>
        <item t="default"/>
      </items>
    </pivotField>
    <pivotField showAll="0"/>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Sum of Revenue INR" fld="6" baseField="0" baseItem="0" numFmtId="172"/>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72B29074-71BA-401B-B52E-F10DFCED5791}" sourceName="Course Name">
  <data>
    <tabular pivotCacheId="1083676669">
      <items count="10">
        <i x="7" s="1"/>
        <i x="4" s="1"/>
        <i x="2" s="1"/>
        <i x="3" s="1"/>
        <i x="1" s="1"/>
        <i x="0" s="1"/>
        <i x="6" s="1"/>
        <i x="9" s="1"/>
        <i x="5"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ACED48-317B-4596-BAC5-7CCBB004FD12}" sourceName="Category">
  <data>
    <tabular pivotCacheId="1083676669">
      <items count="7">
        <i x="3" s="1"/>
        <i x="5" s="1"/>
        <i x="6" s="1"/>
        <i x="4"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F4AAC19-40C3-47A5-BEC1-F6FE907D1F8A}" sourceName="State">
  <data>
    <tabular pivotCacheId="1083676669">
      <items count="10">
        <i x="2" s="1"/>
        <i x="9" s="1"/>
        <i x="1" s="1"/>
        <i x="0" s="1"/>
        <i x="5" s="1"/>
        <i x="8" s="1"/>
        <i x="4" s="1"/>
        <i x="3"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Name" xr10:uid="{51957FE2-3E9E-44EC-9934-4E57DBBE0460}" cache="Slicer_Course_Name" caption="Course Name" rowHeight="234950"/>
  <slicer name="Category" xr10:uid="{8A41DD3F-BBAB-4A51-93FE-FE3B0CDE2BCD}" cache="Slicer_Category" caption="Category" rowHeight="234950"/>
  <slicer name="State" xr10:uid="{1A7E478C-C285-43A6-9BF8-334A3C64EED0}"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Name 1" xr10:uid="{8BC41268-8795-4519-B695-633EB43FB1AB}" cache="Slicer_Course_Name" caption="Course Name" columnCount="2" style="Slicer Style 2" rowHeight="234950"/>
  <slicer name="Category 1" xr10:uid="{66A09202-6FE1-404D-A59D-57C8C8646B83}" cache="Slicer_Category" caption="Category" style="Slicer Style 2" rowHeight="234950"/>
  <slicer name="State 1" xr10:uid="{A22D223E-D995-41E9-89F0-BA4F00B6AEB5}" cache="Slicer_State" caption="State" columnCount="2"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0432DB1-5234-47D8-A0CA-5E94E28D8B49}" sourceName="Date">
  <pivotTables>
    <pivotTable tabId="5" name="PivotTable3"/>
    <pivotTable tabId="5" name="PivotTable4"/>
    <pivotTable tabId="5" name="PivotTable5"/>
    <pivotTable tabId="5" name="PivotTable6"/>
    <pivotTable tabId="5" name="PivotTable7"/>
  </pivotTables>
  <state minimalRefreshVersion="6" lastRefreshVersion="6" pivotCacheId="1019734810"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8A38DB5-00BE-43FE-97B4-BDE9BB722B78}" cache="NativeTimeline_Date" caption="Date" level="2" selectionLevel="2" scrollPosition="2025-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E15D9F0-30DA-4D7A-BD2A-464302ACB682}" cache="NativeTimeline_Date" caption="Date" showSelectionLabel="0" showTimeLevel="0" showHorizontalScrollbar="0" level="2" selectionLevel="2" scrollPosition="2025-01-01T00:00:00" style="TimeSlicerStyleDark5"/>
</timeline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workbookViewId="0">
      <selection sqref="A1:G501"/>
    </sheetView>
  </sheetViews>
  <sheetFormatPr defaultRowHeight="14.4" x14ac:dyDescent="0.3"/>
  <cols>
    <col min="1" max="1" width="10.33203125" style="2" bestFit="1" customWidth="1"/>
    <col min="2" max="2" width="25.44140625" bestFit="1" customWidth="1"/>
    <col min="3" max="3" width="12.21875" bestFit="1" customWidth="1"/>
    <col min="4" max="4" width="11.88671875" bestFit="1" customWidth="1"/>
    <col min="5" max="5" width="14.5546875" bestFit="1" customWidth="1"/>
    <col min="6" max="6" width="10.6640625" bestFit="1" customWidth="1"/>
    <col min="7" max="7" width="11.44140625" bestFit="1" customWidth="1"/>
  </cols>
  <sheetData>
    <row r="1" spans="1:7" x14ac:dyDescent="0.3">
      <c r="A1" s="1" t="s">
        <v>0</v>
      </c>
      <c r="B1" s="5" t="s">
        <v>1</v>
      </c>
      <c r="C1" s="1" t="s">
        <v>2</v>
      </c>
      <c r="D1" s="1" t="s">
        <v>3</v>
      </c>
      <c r="E1" s="1" t="s">
        <v>4</v>
      </c>
      <c r="F1" s="1" t="s">
        <v>5</v>
      </c>
      <c r="G1" s="1" t="s">
        <v>6</v>
      </c>
    </row>
    <row r="2" spans="1:7" x14ac:dyDescent="0.3">
      <c r="A2" s="7">
        <v>45968</v>
      </c>
      <c r="B2" s="6" t="s">
        <v>7</v>
      </c>
      <c r="C2" s="2" t="s">
        <v>8</v>
      </c>
      <c r="D2" s="2" t="s">
        <v>9</v>
      </c>
      <c r="E2" s="2" t="s">
        <v>10</v>
      </c>
      <c r="F2" s="2">
        <v>307</v>
      </c>
      <c r="G2" s="2">
        <v>523742</v>
      </c>
    </row>
    <row r="3" spans="1:7" x14ac:dyDescent="0.3">
      <c r="A3" s="7">
        <v>45726</v>
      </c>
      <c r="B3" s="6" t="s">
        <v>11</v>
      </c>
      <c r="C3" s="2" t="s">
        <v>12</v>
      </c>
      <c r="D3" s="2" t="s">
        <v>13</v>
      </c>
      <c r="E3" s="2" t="s">
        <v>14</v>
      </c>
      <c r="F3" s="2">
        <v>236</v>
      </c>
      <c r="G3" s="2">
        <v>249924</v>
      </c>
    </row>
    <row r="4" spans="1:7" x14ac:dyDescent="0.3">
      <c r="A4" s="7">
        <v>45784</v>
      </c>
      <c r="B4" s="6" t="s">
        <v>15</v>
      </c>
      <c r="C4" s="2" t="s">
        <v>16</v>
      </c>
      <c r="D4" s="2" t="s">
        <v>17</v>
      </c>
      <c r="E4" s="2" t="s">
        <v>18</v>
      </c>
      <c r="F4" s="2">
        <v>62</v>
      </c>
      <c r="G4" s="2">
        <v>215326</v>
      </c>
    </row>
    <row r="5" spans="1:7" x14ac:dyDescent="0.3">
      <c r="A5" s="7">
        <v>45756</v>
      </c>
      <c r="B5" s="6" t="s">
        <v>19</v>
      </c>
      <c r="C5" s="2" t="s">
        <v>20</v>
      </c>
      <c r="D5" s="2" t="s">
        <v>21</v>
      </c>
      <c r="E5" s="2" t="s">
        <v>10</v>
      </c>
      <c r="F5" s="2">
        <v>467</v>
      </c>
      <c r="G5" s="2">
        <v>3370339</v>
      </c>
    </row>
    <row r="6" spans="1:7" x14ac:dyDescent="0.3">
      <c r="A6" s="7">
        <v>45948</v>
      </c>
      <c r="B6" s="6" t="s">
        <v>11</v>
      </c>
      <c r="C6" s="2" t="s">
        <v>12</v>
      </c>
      <c r="D6" s="2" t="s">
        <v>17</v>
      </c>
      <c r="E6" s="2" t="s">
        <v>22</v>
      </c>
      <c r="F6" s="2">
        <v>88</v>
      </c>
      <c r="G6" s="2">
        <v>346544</v>
      </c>
    </row>
    <row r="7" spans="1:7" x14ac:dyDescent="0.3">
      <c r="A7" s="7">
        <v>45889</v>
      </c>
      <c r="B7" s="6" t="s">
        <v>23</v>
      </c>
      <c r="C7" s="2" t="s">
        <v>8</v>
      </c>
      <c r="D7" s="2" t="s">
        <v>9</v>
      </c>
      <c r="E7" s="2" t="s">
        <v>24</v>
      </c>
      <c r="F7" s="2">
        <v>274</v>
      </c>
      <c r="G7" s="2">
        <v>1713596</v>
      </c>
    </row>
    <row r="8" spans="1:7" x14ac:dyDescent="0.3">
      <c r="A8" s="7">
        <v>45659</v>
      </c>
      <c r="B8" s="6" t="s">
        <v>11</v>
      </c>
      <c r="C8" s="2" t="s">
        <v>16</v>
      </c>
      <c r="D8" s="2" t="s">
        <v>17</v>
      </c>
      <c r="E8" s="2" t="s">
        <v>10</v>
      </c>
      <c r="F8" s="2">
        <v>168</v>
      </c>
      <c r="G8" s="2">
        <v>1137864</v>
      </c>
    </row>
    <row r="9" spans="1:7" x14ac:dyDescent="0.3">
      <c r="A9" s="7">
        <v>45799</v>
      </c>
      <c r="B9" s="6" t="s">
        <v>25</v>
      </c>
      <c r="C9" s="2" t="s">
        <v>26</v>
      </c>
      <c r="D9" s="2" t="s">
        <v>17</v>
      </c>
      <c r="E9" s="2" t="s">
        <v>27</v>
      </c>
      <c r="F9" s="2">
        <v>65</v>
      </c>
      <c r="G9" s="2">
        <v>420225</v>
      </c>
    </row>
    <row r="10" spans="1:7" x14ac:dyDescent="0.3">
      <c r="A10" s="7">
        <v>45873</v>
      </c>
      <c r="B10" s="6" t="s">
        <v>28</v>
      </c>
      <c r="C10" s="2" t="s">
        <v>26</v>
      </c>
      <c r="D10" s="2" t="s">
        <v>29</v>
      </c>
      <c r="E10" s="2" t="s">
        <v>24</v>
      </c>
      <c r="F10" s="2">
        <v>268</v>
      </c>
      <c r="G10" s="2">
        <v>2102192</v>
      </c>
    </row>
    <row r="11" spans="1:7" x14ac:dyDescent="0.3">
      <c r="A11" s="7">
        <v>45850</v>
      </c>
      <c r="B11" s="6" t="s">
        <v>30</v>
      </c>
      <c r="C11" s="2" t="s">
        <v>31</v>
      </c>
      <c r="D11" s="2" t="s">
        <v>21</v>
      </c>
      <c r="E11" s="2" t="s">
        <v>32</v>
      </c>
      <c r="F11" s="2">
        <v>261</v>
      </c>
      <c r="G11" s="2">
        <v>1669356</v>
      </c>
    </row>
    <row r="12" spans="1:7" x14ac:dyDescent="0.3">
      <c r="A12" s="7">
        <v>45877</v>
      </c>
      <c r="B12" s="6" t="s">
        <v>11</v>
      </c>
      <c r="C12" s="2" t="s">
        <v>31</v>
      </c>
      <c r="D12" s="2" t="s">
        <v>9</v>
      </c>
      <c r="E12" s="2" t="s">
        <v>27</v>
      </c>
      <c r="F12" s="2">
        <v>250</v>
      </c>
      <c r="G12" s="2">
        <v>872500</v>
      </c>
    </row>
    <row r="13" spans="1:7" x14ac:dyDescent="0.3">
      <c r="A13" s="7">
        <v>45854</v>
      </c>
      <c r="B13" s="6" t="s">
        <v>28</v>
      </c>
      <c r="C13" s="2" t="s">
        <v>31</v>
      </c>
      <c r="D13" s="2" t="s">
        <v>33</v>
      </c>
      <c r="E13" s="2" t="s">
        <v>22</v>
      </c>
      <c r="F13" s="2">
        <v>413</v>
      </c>
      <c r="G13" s="2">
        <v>1110144</v>
      </c>
    </row>
    <row r="14" spans="1:7" x14ac:dyDescent="0.3">
      <c r="A14" s="7">
        <v>45767</v>
      </c>
      <c r="B14" s="6" t="s">
        <v>23</v>
      </c>
      <c r="C14" s="2" t="s">
        <v>31</v>
      </c>
      <c r="D14" s="2" t="s">
        <v>29</v>
      </c>
      <c r="E14" s="2" t="s">
        <v>27</v>
      </c>
      <c r="F14" s="2">
        <v>456</v>
      </c>
      <c r="G14" s="2">
        <v>2041056</v>
      </c>
    </row>
    <row r="15" spans="1:7" x14ac:dyDescent="0.3">
      <c r="A15" s="7">
        <v>45870</v>
      </c>
      <c r="B15" s="6" t="s">
        <v>23</v>
      </c>
      <c r="C15" s="2" t="s">
        <v>31</v>
      </c>
      <c r="D15" s="2" t="s">
        <v>13</v>
      </c>
      <c r="E15" s="2" t="s">
        <v>10</v>
      </c>
      <c r="F15" s="2">
        <v>361</v>
      </c>
      <c r="G15" s="2">
        <v>992389</v>
      </c>
    </row>
    <row r="16" spans="1:7" x14ac:dyDescent="0.3">
      <c r="A16" s="7">
        <v>45875</v>
      </c>
      <c r="B16" s="6" t="s">
        <v>15</v>
      </c>
      <c r="C16" s="2" t="s">
        <v>20</v>
      </c>
      <c r="D16" s="2" t="s">
        <v>17</v>
      </c>
      <c r="E16" s="2" t="s">
        <v>34</v>
      </c>
      <c r="F16" s="2">
        <v>315</v>
      </c>
      <c r="G16" s="2">
        <v>1207395</v>
      </c>
    </row>
    <row r="17" spans="1:7" x14ac:dyDescent="0.3">
      <c r="A17" s="7">
        <v>45697</v>
      </c>
      <c r="B17" s="6" t="s">
        <v>25</v>
      </c>
      <c r="C17" s="2" t="s">
        <v>26</v>
      </c>
      <c r="D17" s="2" t="s">
        <v>13</v>
      </c>
      <c r="E17" s="2" t="s">
        <v>32</v>
      </c>
      <c r="F17" s="2">
        <v>55</v>
      </c>
      <c r="G17" s="2">
        <v>169785</v>
      </c>
    </row>
    <row r="18" spans="1:7" x14ac:dyDescent="0.3">
      <c r="A18" s="7">
        <v>45970</v>
      </c>
      <c r="B18" s="6" t="s">
        <v>23</v>
      </c>
      <c r="C18" s="2" t="s">
        <v>35</v>
      </c>
      <c r="D18" s="2" t="s">
        <v>9</v>
      </c>
      <c r="E18" s="2" t="s">
        <v>34</v>
      </c>
      <c r="F18" s="2">
        <v>275</v>
      </c>
      <c r="G18" s="2">
        <v>890725</v>
      </c>
    </row>
    <row r="19" spans="1:7" x14ac:dyDescent="0.3">
      <c r="A19" s="7">
        <v>45945</v>
      </c>
      <c r="B19" s="6" t="s">
        <v>7</v>
      </c>
      <c r="C19" s="2" t="s">
        <v>16</v>
      </c>
      <c r="D19" s="2" t="s">
        <v>29</v>
      </c>
      <c r="E19" s="2" t="s">
        <v>34</v>
      </c>
      <c r="F19" s="2">
        <v>91</v>
      </c>
      <c r="G19" s="2">
        <v>550186</v>
      </c>
    </row>
    <row r="20" spans="1:7" x14ac:dyDescent="0.3">
      <c r="A20" s="7">
        <v>45973</v>
      </c>
      <c r="B20" s="6" t="s">
        <v>7</v>
      </c>
      <c r="C20" s="2" t="s">
        <v>20</v>
      </c>
      <c r="D20" s="2" t="s">
        <v>17</v>
      </c>
      <c r="E20" s="2" t="s">
        <v>22</v>
      </c>
      <c r="F20" s="2">
        <v>25</v>
      </c>
      <c r="G20" s="2">
        <v>173475</v>
      </c>
    </row>
    <row r="21" spans="1:7" x14ac:dyDescent="0.3">
      <c r="A21" s="7">
        <v>45963</v>
      </c>
      <c r="B21" s="6" t="s">
        <v>15</v>
      </c>
      <c r="C21" s="2" t="s">
        <v>12</v>
      </c>
      <c r="D21" s="2" t="s">
        <v>36</v>
      </c>
      <c r="E21" s="2" t="s">
        <v>37</v>
      </c>
      <c r="F21" s="2">
        <v>431</v>
      </c>
      <c r="G21" s="2">
        <v>826658</v>
      </c>
    </row>
    <row r="22" spans="1:7" x14ac:dyDescent="0.3">
      <c r="A22" s="7">
        <v>45770</v>
      </c>
      <c r="B22" s="6" t="s">
        <v>38</v>
      </c>
      <c r="C22" s="2" t="s">
        <v>12</v>
      </c>
      <c r="D22" s="2" t="s">
        <v>33</v>
      </c>
      <c r="E22" s="2" t="s">
        <v>34</v>
      </c>
      <c r="F22" s="2">
        <v>81</v>
      </c>
      <c r="G22" s="2">
        <v>303264</v>
      </c>
    </row>
    <row r="23" spans="1:7" x14ac:dyDescent="0.3">
      <c r="A23" s="7">
        <v>45787</v>
      </c>
      <c r="B23" s="6" t="s">
        <v>38</v>
      </c>
      <c r="C23" s="2" t="s">
        <v>31</v>
      </c>
      <c r="D23" s="2" t="s">
        <v>9</v>
      </c>
      <c r="E23" s="2" t="s">
        <v>24</v>
      </c>
      <c r="F23" s="2">
        <v>452</v>
      </c>
      <c r="G23" s="2">
        <v>979484</v>
      </c>
    </row>
    <row r="24" spans="1:7" x14ac:dyDescent="0.3">
      <c r="A24" s="7">
        <v>45865</v>
      </c>
      <c r="B24" s="6" t="s">
        <v>25</v>
      </c>
      <c r="C24" s="2" t="s">
        <v>31</v>
      </c>
      <c r="D24" s="2" t="s">
        <v>33</v>
      </c>
      <c r="E24" s="2" t="s">
        <v>18</v>
      </c>
      <c r="F24" s="2">
        <v>80</v>
      </c>
      <c r="G24" s="2">
        <v>421200</v>
      </c>
    </row>
    <row r="25" spans="1:7" x14ac:dyDescent="0.3">
      <c r="A25" s="7">
        <v>45778</v>
      </c>
      <c r="B25" s="6" t="s">
        <v>7</v>
      </c>
      <c r="C25" s="2" t="s">
        <v>26</v>
      </c>
      <c r="D25" s="2" t="s">
        <v>17</v>
      </c>
      <c r="E25" s="2" t="s">
        <v>32</v>
      </c>
      <c r="F25" s="2">
        <v>277</v>
      </c>
      <c r="G25" s="2">
        <v>1889694</v>
      </c>
    </row>
    <row r="26" spans="1:7" x14ac:dyDescent="0.3">
      <c r="A26" s="7">
        <v>45811</v>
      </c>
      <c r="B26" s="6" t="s">
        <v>39</v>
      </c>
      <c r="C26" s="2" t="s">
        <v>20</v>
      </c>
      <c r="D26" s="2" t="s">
        <v>33</v>
      </c>
      <c r="E26" s="2" t="s">
        <v>18</v>
      </c>
      <c r="F26" s="2">
        <v>136</v>
      </c>
      <c r="G26" s="2">
        <v>516664</v>
      </c>
    </row>
    <row r="27" spans="1:7" x14ac:dyDescent="0.3">
      <c r="A27" s="7">
        <v>45718</v>
      </c>
      <c r="B27" s="6" t="s">
        <v>30</v>
      </c>
      <c r="C27" s="2" t="s">
        <v>12</v>
      </c>
      <c r="D27" s="2" t="s">
        <v>33</v>
      </c>
      <c r="E27" s="2" t="s">
        <v>10</v>
      </c>
      <c r="F27" s="2">
        <v>307</v>
      </c>
      <c r="G27" s="2">
        <v>1472679</v>
      </c>
    </row>
    <row r="28" spans="1:7" x14ac:dyDescent="0.3">
      <c r="A28" s="7">
        <v>45836</v>
      </c>
      <c r="B28" s="6" t="s">
        <v>39</v>
      </c>
      <c r="C28" s="2" t="s">
        <v>16</v>
      </c>
      <c r="D28" s="2" t="s">
        <v>21</v>
      </c>
      <c r="E28" s="2" t="s">
        <v>40</v>
      </c>
      <c r="F28" s="2">
        <v>211</v>
      </c>
      <c r="G28" s="2">
        <v>636798</v>
      </c>
    </row>
    <row r="29" spans="1:7" x14ac:dyDescent="0.3">
      <c r="A29" s="7">
        <v>45758</v>
      </c>
      <c r="B29" s="6" t="s">
        <v>28</v>
      </c>
      <c r="C29" s="2" t="s">
        <v>16</v>
      </c>
      <c r="D29" s="2" t="s">
        <v>17</v>
      </c>
      <c r="E29" s="2" t="s">
        <v>37</v>
      </c>
      <c r="F29" s="2">
        <v>19</v>
      </c>
      <c r="G29" s="2">
        <v>109668</v>
      </c>
    </row>
    <row r="30" spans="1:7" x14ac:dyDescent="0.3">
      <c r="A30" s="7">
        <v>45716</v>
      </c>
      <c r="B30" s="6" t="s">
        <v>30</v>
      </c>
      <c r="C30" s="2" t="s">
        <v>35</v>
      </c>
      <c r="D30" s="2" t="s">
        <v>13</v>
      </c>
      <c r="E30" s="2" t="s">
        <v>24</v>
      </c>
      <c r="F30" s="2">
        <v>233</v>
      </c>
      <c r="G30" s="2">
        <v>283328</v>
      </c>
    </row>
    <row r="31" spans="1:7" x14ac:dyDescent="0.3">
      <c r="A31" s="7">
        <v>45991</v>
      </c>
      <c r="B31" s="6" t="s">
        <v>11</v>
      </c>
      <c r="C31" s="2" t="s">
        <v>35</v>
      </c>
      <c r="D31" s="2" t="s">
        <v>17</v>
      </c>
      <c r="E31" s="2" t="s">
        <v>24</v>
      </c>
      <c r="F31" s="2">
        <v>130</v>
      </c>
      <c r="G31" s="2">
        <v>582660</v>
      </c>
    </row>
    <row r="32" spans="1:7" x14ac:dyDescent="0.3">
      <c r="A32" s="7">
        <v>45757</v>
      </c>
      <c r="B32" s="6" t="s">
        <v>11</v>
      </c>
      <c r="C32" s="2" t="s">
        <v>26</v>
      </c>
      <c r="D32" s="2" t="s">
        <v>9</v>
      </c>
      <c r="E32" s="2" t="s">
        <v>32</v>
      </c>
      <c r="F32" s="2">
        <v>115</v>
      </c>
      <c r="G32" s="2">
        <v>271400</v>
      </c>
    </row>
    <row r="33" spans="1:7" x14ac:dyDescent="0.3">
      <c r="A33" s="7">
        <v>45848</v>
      </c>
      <c r="B33" s="6" t="s">
        <v>39</v>
      </c>
      <c r="C33" s="2" t="s">
        <v>26</v>
      </c>
      <c r="D33" s="2" t="s">
        <v>13</v>
      </c>
      <c r="E33" s="2" t="s">
        <v>18</v>
      </c>
      <c r="F33" s="2">
        <v>145</v>
      </c>
      <c r="G33" s="2">
        <v>258390</v>
      </c>
    </row>
    <row r="34" spans="1:7" x14ac:dyDescent="0.3">
      <c r="A34" s="7">
        <v>45939</v>
      </c>
      <c r="B34" s="6" t="s">
        <v>25</v>
      </c>
      <c r="C34" s="2" t="s">
        <v>20</v>
      </c>
      <c r="D34" s="2" t="s">
        <v>13</v>
      </c>
      <c r="E34" s="2" t="s">
        <v>34</v>
      </c>
      <c r="F34" s="2">
        <v>274</v>
      </c>
      <c r="G34" s="2">
        <v>1859638</v>
      </c>
    </row>
    <row r="35" spans="1:7" x14ac:dyDescent="0.3">
      <c r="A35" s="7">
        <v>45944</v>
      </c>
      <c r="B35" s="6" t="s">
        <v>11</v>
      </c>
      <c r="C35" s="2" t="s">
        <v>16</v>
      </c>
      <c r="D35" s="2" t="s">
        <v>21</v>
      </c>
      <c r="E35" s="2" t="s">
        <v>10</v>
      </c>
      <c r="F35" s="2">
        <v>101</v>
      </c>
      <c r="G35" s="2">
        <v>466317</v>
      </c>
    </row>
    <row r="36" spans="1:7" x14ac:dyDescent="0.3">
      <c r="A36" s="7">
        <v>45771</v>
      </c>
      <c r="B36" s="6" t="s">
        <v>38</v>
      </c>
      <c r="C36" s="2" t="s">
        <v>35</v>
      </c>
      <c r="D36" s="2" t="s">
        <v>9</v>
      </c>
      <c r="E36" s="2" t="s">
        <v>24</v>
      </c>
      <c r="F36" s="2">
        <v>263</v>
      </c>
      <c r="G36" s="2">
        <v>1014128</v>
      </c>
    </row>
    <row r="37" spans="1:7" x14ac:dyDescent="0.3">
      <c r="A37" s="7">
        <v>45736</v>
      </c>
      <c r="B37" s="6" t="s">
        <v>39</v>
      </c>
      <c r="C37" s="2" t="s">
        <v>20</v>
      </c>
      <c r="D37" s="2" t="s">
        <v>21</v>
      </c>
      <c r="E37" s="2" t="s">
        <v>10</v>
      </c>
      <c r="F37" s="2">
        <v>459</v>
      </c>
      <c r="G37" s="2">
        <v>2003076</v>
      </c>
    </row>
    <row r="38" spans="1:7" x14ac:dyDescent="0.3">
      <c r="A38" s="7">
        <v>45758</v>
      </c>
      <c r="B38" s="6" t="s">
        <v>39</v>
      </c>
      <c r="C38" s="2" t="s">
        <v>20</v>
      </c>
      <c r="D38" s="2" t="s">
        <v>21</v>
      </c>
      <c r="E38" s="2" t="s">
        <v>27</v>
      </c>
      <c r="F38" s="2">
        <v>140</v>
      </c>
      <c r="G38" s="2">
        <v>1069740</v>
      </c>
    </row>
    <row r="39" spans="1:7" x14ac:dyDescent="0.3">
      <c r="A39" s="7">
        <v>45684</v>
      </c>
      <c r="B39" s="6" t="s">
        <v>39</v>
      </c>
      <c r="C39" s="2" t="s">
        <v>16</v>
      </c>
      <c r="D39" s="2" t="s">
        <v>9</v>
      </c>
      <c r="E39" s="2" t="s">
        <v>10</v>
      </c>
      <c r="F39" s="2">
        <v>167</v>
      </c>
      <c r="G39" s="2">
        <v>1087337</v>
      </c>
    </row>
    <row r="40" spans="1:7" x14ac:dyDescent="0.3">
      <c r="A40" s="7">
        <v>45778</v>
      </c>
      <c r="B40" s="6" t="s">
        <v>7</v>
      </c>
      <c r="C40" s="2" t="s">
        <v>31</v>
      </c>
      <c r="D40" s="2" t="s">
        <v>9</v>
      </c>
      <c r="E40" s="2" t="s">
        <v>32</v>
      </c>
      <c r="F40" s="2">
        <v>189</v>
      </c>
      <c r="G40" s="2">
        <v>322434</v>
      </c>
    </row>
    <row r="41" spans="1:7" x14ac:dyDescent="0.3">
      <c r="A41" s="7">
        <v>45753</v>
      </c>
      <c r="B41" s="6" t="s">
        <v>7</v>
      </c>
      <c r="C41" s="2" t="s">
        <v>26</v>
      </c>
      <c r="D41" s="2" t="s">
        <v>33</v>
      </c>
      <c r="E41" s="2" t="s">
        <v>32</v>
      </c>
      <c r="F41" s="2">
        <v>236</v>
      </c>
      <c r="G41" s="2">
        <v>778564</v>
      </c>
    </row>
    <row r="42" spans="1:7" x14ac:dyDescent="0.3">
      <c r="A42" s="7">
        <v>45722</v>
      </c>
      <c r="B42" s="6" t="s">
        <v>28</v>
      </c>
      <c r="C42" s="2" t="s">
        <v>20</v>
      </c>
      <c r="D42" s="2" t="s">
        <v>33</v>
      </c>
      <c r="E42" s="2" t="s">
        <v>32</v>
      </c>
      <c r="F42" s="2">
        <v>316</v>
      </c>
      <c r="G42" s="2">
        <v>605772</v>
      </c>
    </row>
    <row r="43" spans="1:7" x14ac:dyDescent="0.3">
      <c r="A43" s="7">
        <v>45881</v>
      </c>
      <c r="B43" s="6" t="s">
        <v>28</v>
      </c>
      <c r="C43" s="2" t="s">
        <v>26</v>
      </c>
      <c r="D43" s="2" t="s">
        <v>33</v>
      </c>
      <c r="E43" s="2" t="s">
        <v>24</v>
      </c>
      <c r="F43" s="2">
        <v>378</v>
      </c>
      <c r="G43" s="2">
        <v>1468152</v>
      </c>
    </row>
    <row r="44" spans="1:7" x14ac:dyDescent="0.3">
      <c r="A44" s="7">
        <v>45959</v>
      </c>
      <c r="B44" s="6" t="s">
        <v>38</v>
      </c>
      <c r="C44" s="2" t="s">
        <v>31</v>
      </c>
      <c r="D44" s="2" t="s">
        <v>17</v>
      </c>
      <c r="E44" s="2" t="s">
        <v>22</v>
      </c>
      <c r="F44" s="2">
        <v>425</v>
      </c>
      <c r="G44" s="2">
        <v>1629875</v>
      </c>
    </row>
    <row r="45" spans="1:7" x14ac:dyDescent="0.3">
      <c r="A45" s="7">
        <v>45874</v>
      </c>
      <c r="B45" s="6" t="s">
        <v>38</v>
      </c>
      <c r="C45" s="2" t="s">
        <v>35</v>
      </c>
      <c r="D45" s="2" t="s">
        <v>21</v>
      </c>
      <c r="E45" s="2" t="s">
        <v>24</v>
      </c>
      <c r="F45" s="2">
        <v>36</v>
      </c>
      <c r="G45" s="2">
        <v>260424</v>
      </c>
    </row>
    <row r="46" spans="1:7" x14ac:dyDescent="0.3">
      <c r="A46" s="7">
        <v>45854</v>
      </c>
      <c r="B46" s="6" t="s">
        <v>19</v>
      </c>
      <c r="C46" s="2" t="s">
        <v>35</v>
      </c>
      <c r="D46" s="2" t="s">
        <v>21</v>
      </c>
      <c r="E46" s="2" t="s">
        <v>34</v>
      </c>
      <c r="F46" s="2">
        <v>60</v>
      </c>
      <c r="G46" s="2">
        <v>433140</v>
      </c>
    </row>
    <row r="47" spans="1:7" x14ac:dyDescent="0.3">
      <c r="A47" s="7">
        <v>45954</v>
      </c>
      <c r="B47" s="6" t="s">
        <v>25</v>
      </c>
      <c r="C47" s="2" t="s">
        <v>8</v>
      </c>
      <c r="D47" s="2" t="s">
        <v>36</v>
      </c>
      <c r="E47" s="2" t="s">
        <v>40</v>
      </c>
      <c r="F47" s="2">
        <v>212</v>
      </c>
      <c r="G47" s="2">
        <v>834644</v>
      </c>
    </row>
    <row r="48" spans="1:7" x14ac:dyDescent="0.3">
      <c r="A48" s="7">
        <v>45818</v>
      </c>
      <c r="B48" s="6" t="s">
        <v>39</v>
      </c>
      <c r="C48" s="2" t="s">
        <v>20</v>
      </c>
      <c r="D48" s="2" t="s">
        <v>29</v>
      </c>
      <c r="E48" s="2" t="s">
        <v>27</v>
      </c>
      <c r="F48" s="2">
        <v>477</v>
      </c>
      <c r="G48" s="2">
        <v>2021526</v>
      </c>
    </row>
    <row r="49" spans="1:7" x14ac:dyDescent="0.3">
      <c r="A49" s="7">
        <v>45735</v>
      </c>
      <c r="B49" s="6" t="s">
        <v>11</v>
      </c>
      <c r="C49" s="2" t="s">
        <v>12</v>
      </c>
      <c r="D49" s="2" t="s">
        <v>9</v>
      </c>
      <c r="E49" s="2" t="s">
        <v>40</v>
      </c>
      <c r="F49" s="2">
        <v>269</v>
      </c>
      <c r="G49" s="2">
        <v>1449641</v>
      </c>
    </row>
    <row r="50" spans="1:7" x14ac:dyDescent="0.3">
      <c r="A50" s="7">
        <v>45891</v>
      </c>
      <c r="B50" s="6" t="s">
        <v>23</v>
      </c>
      <c r="C50" s="2" t="s">
        <v>20</v>
      </c>
      <c r="D50" s="2" t="s">
        <v>33</v>
      </c>
      <c r="E50" s="2" t="s">
        <v>22</v>
      </c>
      <c r="F50" s="2">
        <v>475</v>
      </c>
      <c r="G50" s="2">
        <v>1677225</v>
      </c>
    </row>
    <row r="51" spans="1:7" x14ac:dyDescent="0.3">
      <c r="A51" s="7">
        <v>45924</v>
      </c>
      <c r="B51" s="6" t="s">
        <v>7</v>
      </c>
      <c r="C51" s="2" t="s">
        <v>31</v>
      </c>
      <c r="D51" s="2" t="s">
        <v>9</v>
      </c>
      <c r="E51" s="2" t="s">
        <v>34</v>
      </c>
      <c r="F51" s="2">
        <v>444</v>
      </c>
      <c r="G51" s="2">
        <v>1018980</v>
      </c>
    </row>
    <row r="52" spans="1:7" x14ac:dyDescent="0.3">
      <c r="A52" s="7">
        <v>45740</v>
      </c>
      <c r="B52" s="6" t="s">
        <v>7</v>
      </c>
      <c r="C52" s="2" t="s">
        <v>41</v>
      </c>
      <c r="D52" s="2" t="s">
        <v>13</v>
      </c>
      <c r="E52" s="2" t="s">
        <v>32</v>
      </c>
      <c r="F52" s="2">
        <v>456</v>
      </c>
      <c r="G52" s="2">
        <v>2339280</v>
      </c>
    </row>
    <row r="53" spans="1:7" x14ac:dyDescent="0.3">
      <c r="A53" s="7">
        <v>45751</v>
      </c>
      <c r="B53" s="6" t="s">
        <v>30</v>
      </c>
      <c r="C53" s="2" t="s">
        <v>41</v>
      </c>
      <c r="D53" s="2" t="s">
        <v>36</v>
      </c>
      <c r="E53" s="2" t="s">
        <v>34</v>
      </c>
      <c r="F53" s="2">
        <v>44</v>
      </c>
      <c r="G53" s="2">
        <v>347908</v>
      </c>
    </row>
    <row r="54" spans="1:7" x14ac:dyDescent="0.3">
      <c r="A54" s="7">
        <v>45928</v>
      </c>
      <c r="B54" s="6" t="s">
        <v>25</v>
      </c>
      <c r="C54" s="2" t="s">
        <v>16</v>
      </c>
      <c r="D54" s="2" t="s">
        <v>33</v>
      </c>
      <c r="E54" s="2" t="s">
        <v>18</v>
      </c>
      <c r="F54" s="2">
        <v>181</v>
      </c>
      <c r="G54" s="2">
        <v>1220664</v>
      </c>
    </row>
    <row r="55" spans="1:7" x14ac:dyDescent="0.3">
      <c r="A55" s="7">
        <v>45988</v>
      </c>
      <c r="B55" s="6" t="s">
        <v>23</v>
      </c>
      <c r="C55" s="2" t="s">
        <v>35</v>
      </c>
      <c r="D55" s="2" t="s">
        <v>17</v>
      </c>
      <c r="E55" s="2" t="s">
        <v>14</v>
      </c>
      <c r="F55" s="2">
        <v>451</v>
      </c>
      <c r="G55" s="2">
        <v>648989</v>
      </c>
    </row>
    <row r="56" spans="1:7" x14ac:dyDescent="0.3">
      <c r="A56" s="7">
        <v>45900</v>
      </c>
      <c r="B56" s="6" t="s">
        <v>30</v>
      </c>
      <c r="C56" s="2" t="s">
        <v>41</v>
      </c>
      <c r="D56" s="2" t="s">
        <v>9</v>
      </c>
      <c r="E56" s="2" t="s">
        <v>27</v>
      </c>
      <c r="F56" s="2">
        <v>14</v>
      </c>
      <c r="G56" s="2">
        <v>102522</v>
      </c>
    </row>
    <row r="57" spans="1:7" x14ac:dyDescent="0.3">
      <c r="A57" s="7">
        <v>45827</v>
      </c>
      <c r="B57" s="6" t="s">
        <v>25</v>
      </c>
      <c r="C57" s="2" t="s">
        <v>31</v>
      </c>
      <c r="D57" s="2" t="s">
        <v>17</v>
      </c>
      <c r="E57" s="2" t="s">
        <v>22</v>
      </c>
      <c r="F57" s="2">
        <v>205</v>
      </c>
      <c r="G57" s="2">
        <v>1154765</v>
      </c>
    </row>
    <row r="58" spans="1:7" x14ac:dyDescent="0.3">
      <c r="A58" s="7">
        <v>45786</v>
      </c>
      <c r="B58" s="6" t="s">
        <v>11</v>
      </c>
      <c r="C58" s="2" t="s">
        <v>35</v>
      </c>
      <c r="D58" s="2" t="s">
        <v>13</v>
      </c>
      <c r="E58" s="2" t="s">
        <v>14</v>
      </c>
      <c r="F58" s="2">
        <v>302</v>
      </c>
      <c r="G58" s="2">
        <v>2300334</v>
      </c>
    </row>
    <row r="59" spans="1:7" x14ac:dyDescent="0.3">
      <c r="A59" s="7">
        <v>45754</v>
      </c>
      <c r="B59" s="6" t="s">
        <v>30</v>
      </c>
      <c r="C59" s="2" t="s">
        <v>35</v>
      </c>
      <c r="D59" s="2" t="s">
        <v>36</v>
      </c>
      <c r="E59" s="2" t="s">
        <v>27</v>
      </c>
      <c r="F59" s="2">
        <v>13</v>
      </c>
      <c r="G59" s="2">
        <v>56732</v>
      </c>
    </row>
    <row r="60" spans="1:7" x14ac:dyDescent="0.3">
      <c r="A60" s="7">
        <v>45904</v>
      </c>
      <c r="B60" s="6" t="s">
        <v>38</v>
      </c>
      <c r="C60" s="2" t="s">
        <v>16</v>
      </c>
      <c r="D60" s="2" t="s">
        <v>36</v>
      </c>
      <c r="E60" s="2" t="s">
        <v>34</v>
      </c>
      <c r="F60" s="2">
        <v>196</v>
      </c>
      <c r="G60" s="2">
        <v>481964</v>
      </c>
    </row>
    <row r="61" spans="1:7" x14ac:dyDescent="0.3">
      <c r="A61" s="7">
        <v>45762</v>
      </c>
      <c r="B61" s="6" t="s">
        <v>38</v>
      </c>
      <c r="C61" s="2" t="s">
        <v>8</v>
      </c>
      <c r="D61" s="2" t="s">
        <v>33</v>
      </c>
      <c r="E61" s="2" t="s">
        <v>34</v>
      </c>
      <c r="F61" s="2">
        <v>326</v>
      </c>
      <c r="G61" s="2">
        <v>2137908</v>
      </c>
    </row>
    <row r="62" spans="1:7" x14ac:dyDescent="0.3">
      <c r="A62" s="7">
        <v>45898</v>
      </c>
      <c r="B62" s="6" t="s">
        <v>19</v>
      </c>
      <c r="C62" s="2" t="s">
        <v>16</v>
      </c>
      <c r="D62" s="2" t="s">
        <v>9</v>
      </c>
      <c r="E62" s="2" t="s">
        <v>27</v>
      </c>
      <c r="F62" s="2">
        <v>140</v>
      </c>
      <c r="G62" s="2">
        <v>299740</v>
      </c>
    </row>
    <row r="63" spans="1:7" x14ac:dyDescent="0.3">
      <c r="A63" s="7">
        <v>45900</v>
      </c>
      <c r="B63" s="6" t="s">
        <v>15</v>
      </c>
      <c r="C63" s="2" t="s">
        <v>16</v>
      </c>
      <c r="D63" s="2" t="s">
        <v>36</v>
      </c>
      <c r="E63" s="2" t="s">
        <v>34</v>
      </c>
      <c r="F63" s="2">
        <v>144</v>
      </c>
      <c r="G63" s="2">
        <v>288720</v>
      </c>
    </row>
    <row r="64" spans="1:7" x14ac:dyDescent="0.3">
      <c r="A64" s="7">
        <v>45991</v>
      </c>
      <c r="B64" s="6" t="s">
        <v>15</v>
      </c>
      <c r="C64" s="2" t="s">
        <v>20</v>
      </c>
      <c r="D64" s="2" t="s">
        <v>33</v>
      </c>
      <c r="E64" s="2" t="s">
        <v>18</v>
      </c>
      <c r="F64" s="2">
        <v>99</v>
      </c>
      <c r="G64" s="2">
        <v>533610</v>
      </c>
    </row>
    <row r="65" spans="1:7" x14ac:dyDescent="0.3">
      <c r="A65" s="7">
        <v>45941</v>
      </c>
      <c r="B65" s="6" t="s">
        <v>11</v>
      </c>
      <c r="C65" s="2" t="s">
        <v>16</v>
      </c>
      <c r="D65" s="2" t="s">
        <v>9</v>
      </c>
      <c r="E65" s="2" t="s">
        <v>10</v>
      </c>
      <c r="F65" s="2">
        <v>263</v>
      </c>
      <c r="G65" s="2">
        <v>409754</v>
      </c>
    </row>
    <row r="66" spans="1:7" x14ac:dyDescent="0.3">
      <c r="A66" s="7">
        <v>45723</v>
      </c>
      <c r="B66" s="6" t="s">
        <v>38</v>
      </c>
      <c r="C66" s="2" t="s">
        <v>26</v>
      </c>
      <c r="D66" s="2" t="s">
        <v>9</v>
      </c>
      <c r="E66" s="2" t="s">
        <v>14</v>
      </c>
      <c r="F66" s="2">
        <v>160</v>
      </c>
      <c r="G66" s="2">
        <v>1029280</v>
      </c>
    </row>
    <row r="67" spans="1:7" x14ac:dyDescent="0.3">
      <c r="A67" s="7">
        <v>45930</v>
      </c>
      <c r="B67" s="6" t="s">
        <v>15</v>
      </c>
      <c r="C67" s="2" t="s">
        <v>41</v>
      </c>
      <c r="D67" s="2" t="s">
        <v>21</v>
      </c>
      <c r="E67" s="2" t="s">
        <v>37</v>
      </c>
      <c r="F67" s="2">
        <v>305</v>
      </c>
      <c r="G67" s="2">
        <v>1870260</v>
      </c>
    </row>
    <row r="68" spans="1:7" x14ac:dyDescent="0.3">
      <c r="A68" s="7">
        <v>45930</v>
      </c>
      <c r="B68" s="6" t="s">
        <v>30</v>
      </c>
      <c r="C68" s="2" t="s">
        <v>41</v>
      </c>
      <c r="D68" s="2" t="s">
        <v>33</v>
      </c>
      <c r="E68" s="2" t="s">
        <v>34</v>
      </c>
      <c r="F68" s="2">
        <v>243</v>
      </c>
      <c r="G68" s="2">
        <v>560115</v>
      </c>
    </row>
    <row r="69" spans="1:7" x14ac:dyDescent="0.3">
      <c r="A69" s="7">
        <v>45686</v>
      </c>
      <c r="B69" s="6" t="s">
        <v>25</v>
      </c>
      <c r="C69" s="2" t="s">
        <v>35</v>
      </c>
      <c r="D69" s="2" t="s">
        <v>13</v>
      </c>
      <c r="E69" s="2" t="s">
        <v>37</v>
      </c>
      <c r="F69" s="2">
        <v>296</v>
      </c>
      <c r="G69" s="2">
        <v>805712</v>
      </c>
    </row>
    <row r="70" spans="1:7" x14ac:dyDescent="0.3">
      <c r="A70" s="7">
        <v>46013</v>
      </c>
      <c r="B70" s="6" t="s">
        <v>38</v>
      </c>
      <c r="C70" s="2" t="s">
        <v>16</v>
      </c>
      <c r="D70" s="2" t="s">
        <v>21</v>
      </c>
      <c r="E70" s="2" t="s">
        <v>34</v>
      </c>
      <c r="F70" s="2">
        <v>211</v>
      </c>
      <c r="G70" s="2">
        <v>861302</v>
      </c>
    </row>
    <row r="71" spans="1:7" x14ac:dyDescent="0.3">
      <c r="A71" s="7">
        <v>45889</v>
      </c>
      <c r="B71" s="6" t="s">
        <v>11</v>
      </c>
      <c r="C71" s="2" t="s">
        <v>31</v>
      </c>
      <c r="D71" s="2" t="s">
        <v>36</v>
      </c>
      <c r="E71" s="2" t="s">
        <v>27</v>
      </c>
      <c r="F71" s="2">
        <v>254</v>
      </c>
      <c r="G71" s="2">
        <v>1672082</v>
      </c>
    </row>
    <row r="72" spans="1:7" x14ac:dyDescent="0.3">
      <c r="A72" s="7">
        <v>45719</v>
      </c>
      <c r="B72" s="6" t="s">
        <v>39</v>
      </c>
      <c r="C72" s="2" t="s">
        <v>41</v>
      </c>
      <c r="D72" s="2" t="s">
        <v>17</v>
      </c>
      <c r="E72" s="2" t="s">
        <v>14</v>
      </c>
      <c r="F72" s="2">
        <v>346</v>
      </c>
      <c r="G72" s="2">
        <v>2716792</v>
      </c>
    </row>
    <row r="73" spans="1:7" x14ac:dyDescent="0.3">
      <c r="A73" s="7">
        <v>45739</v>
      </c>
      <c r="B73" s="6" t="s">
        <v>7</v>
      </c>
      <c r="C73" s="2" t="s">
        <v>8</v>
      </c>
      <c r="D73" s="2" t="s">
        <v>21</v>
      </c>
      <c r="E73" s="2" t="s">
        <v>32</v>
      </c>
      <c r="F73" s="2">
        <v>12</v>
      </c>
      <c r="G73" s="2">
        <v>49824</v>
      </c>
    </row>
    <row r="74" spans="1:7" x14ac:dyDescent="0.3">
      <c r="A74" s="7">
        <v>45697</v>
      </c>
      <c r="B74" s="6" t="s">
        <v>7</v>
      </c>
      <c r="C74" s="2" t="s">
        <v>12</v>
      </c>
      <c r="D74" s="2" t="s">
        <v>13</v>
      </c>
      <c r="E74" s="2" t="s">
        <v>40</v>
      </c>
      <c r="F74" s="2">
        <v>52</v>
      </c>
      <c r="G74" s="2">
        <v>332488</v>
      </c>
    </row>
    <row r="75" spans="1:7" x14ac:dyDescent="0.3">
      <c r="A75" s="7">
        <v>45930</v>
      </c>
      <c r="B75" s="6" t="s">
        <v>38</v>
      </c>
      <c r="C75" s="2" t="s">
        <v>20</v>
      </c>
      <c r="D75" s="2" t="s">
        <v>17</v>
      </c>
      <c r="E75" s="2" t="s">
        <v>10</v>
      </c>
      <c r="F75" s="2">
        <v>225</v>
      </c>
      <c r="G75" s="2">
        <v>917100</v>
      </c>
    </row>
    <row r="76" spans="1:7" x14ac:dyDescent="0.3">
      <c r="A76" s="7">
        <v>45850</v>
      </c>
      <c r="B76" s="6" t="s">
        <v>28</v>
      </c>
      <c r="C76" s="2" t="s">
        <v>41</v>
      </c>
      <c r="D76" s="2" t="s">
        <v>17</v>
      </c>
      <c r="E76" s="2" t="s">
        <v>40</v>
      </c>
      <c r="F76" s="2">
        <v>266</v>
      </c>
      <c r="G76" s="2">
        <v>900676</v>
      </c>
    </row>
    <row r="77" spans="1:7" x14ac:dyDescent="0.3">
      <c r="A77" s="7">
        <v>46018</v>
      </c>
      <c r="B77" s="6" t="s">
        <v>39</v>
      </c>
      <c r="C77" s="2" t="s">
        <v>31</v>
      </c>
      <c r="D77" s="2" t="s">
        <v>21</v>
      </c>
      <c r="E77" s="2" t="s">
        <v>22</v>
      </c>
      <c r="F77" s="2">
        <v>123</v>
      </c>
      <c r="G77" s="2">
        <v>310575</v>
      </c>
    </row>
    <row r="78" spans="1:7" x14ac:dyDescent="0.3">
      <c r="A78" s="7">
        <v>45931</v>
      </c>
      <c r="B78" s="6" t="s">
        <v>38</v>
      </c>
      <c r="C78" s="2" t="s">
        <v>41</v>
      </c>
      <c r="D78" s="2" t="s">
        <v>13</v>
      </c>
      <c r="E78" s="2" t="s">
        <v>27</v>
      </c>
      <c r="F78" s="2">
        <v>191</v>
      </c>
      <c r="G78" s="2">
        <v>328711</v>
      </c>
    </row>
    <row r="79" spans="1:7" x14ac:dyDescent="0.3">
      <c r="A79" s="7">
        <v>45813</v>
      </c>
      <c r="B79" s="6" t="s">
        <v>19</v>
      </c>
      <c r="C79" s="2" t="s">
        <v>26</v>
      </c>
      <c r="D79" s="2" t="s">
        <v>13</v>
      </c>
      <c r="E79" s="2" t="s">
        <v>40</v>
      </c>
      <c r="F79" s="2">
        <v>408</v>
      </c>
      <c r="G79" s="2">
        <v>1326408</v>
      </c>
    </row>
    <row r="80" spans="1:7" x14ac:dyDescent="0.3">
      <c r="A80" s="7">
        <v>45933</v>
      </c>
      <c r="B80" s="6" t="s">
        <v>39</v>
      </c>
      <c r="C80" s="2" t="s">
        <v>16</v>
      </c>
      <c r="D80" s="2" t="s">
        <v>13</v>
      </c>
      <c r="E80" s="2" t="s">
        <v>24</v>
      </c>
      <c r="F80" s="2">
        <v>292</v>
      </c>
      <c r="G80" s="2">
        <v>815264</v>
      </c>
    </row>
    <row r="81" spans="1:7" x14ac:dyDescent="0.3">
      <c r="A81" s="7">
        <v>45827</v>
      </c>
      <c r="B81" s="6" t="s">
        <v>23</v>
      </c>
      <c r="C81" s="2" t="s">
        <v>8</v>
      </c>
      <c r="D81" s="2" t="s">
        <v>21</v>
      </c>
      <c r="E81" s="2" t="s">
        <v>34</v>
      </c>
      <c r="F81" s="2">
        <v>280</v>
      </c>
      <c r="G81" s="2">
        <v>1238440</v>
      </c>
    </row>
    <row r="82" spans="1:7" x14ac:dyDescent="0.3">
      <c r="A82" s="7">
        <v>45720</v>
      </c>
      <c r="B82" s="6" t="s">
        <v>15</v>
      </c>
      <c r="C82" s="2" t="s">
        <v>20</v>
      </c>
      <c r="D82" s="2" t="s">
        <v>9</v>
      </c>
      <c r="E82" s="2" t="s">
        <v>18</v>
      </c>
      <c r="F82" s="2">
        <v>60</v>
      </c>
      <c r="G82" s="2">
        <v>407940</v>
      </c>
    </row>
    <row r="83" spans="1:7" x14ac:dyDescent="0.3">
      <c r="A83" s="7">
        <v>45767</v>
      </c>
      <c r="B83" s="6" t="s">
        <v>28</v>
      </c>
      <c r="C83" s="2" t="s">
        <v>20</v>
      </c>
      <c r="D83" s="2" t="s">
        <v>36</v>
      </c>
      <c r="E83" s="2" t="s">
        <v>22</v>
      </c>
      <c r="F83" s="2">
        <v>313</v>
      </c>
      <c r="G83" s="2">
        <v>1708667</v>
      </c>
    </row>
    <row r="84" spans="1:7" x14ac:dyDescent="0.3">
      <c r="A84" s="7">
        <v>45874</v>
      </c>
      <c r="B84" s="6" t="s">
        <v>30</v>
      </c>
      <c r="C84" s="2" t="s">
        <v>41</v>
      </c>
      <c r="D84" s="2" t="s">
        <v>13</v>
      </c>
      <c r="E84" s="2" t="s">
        <v>22</v>
      </c>
      <c r="F84" s="2">
        <v>172</v>
      </c>
      <c r="G84" s="2">
        <v>1276412</v>
      </c>
    </row>
    <row r="85" spans="1:7" x14ac:dyDescent="0.3">
      <c r="A85" s="7">
        <v>45807</v>
      </c>
      <c r="B85" s="6" t="s">
        <v>28</v>
      </c>
      <c r="C85" s="2" t="s">
        <v>26</v>
      </c>
      <c r="D85" s="2" t="s">
        <v>21</v>
      </c>
      <c r="E85" s="2" t="s">
        <v>24</v>
      </c>
      <c r="F85" s="2">
        <v>88</v>
      </c>
      <c r="G85" s="2">
        <v>114048</v>
      </c>
    </row>
    <row r="86" spans="1:7" x14ac:dyDescent="0.3">
      <c r="A86" s="7">
        <v>45938</v>
      </c>
      <c r="B86" s="6" t="s">
        <v>28</v>
      </c>
      <c r="C86" s="2" t="s">
        <v>16</v>
      </c>
      <c r="D86" s="2" t="s">
        <v>33</v>
      </c>
      <c r="E86" s="2" t="s">
        <v>24</v>
      </c>
      <c r="F86" s="2">
        <v>292</v>
      </c>
      <c r="G86" s="2">
        <v>2144448</v>
      </c>
    </row>
    <row r="87" spans="1:7" x14ac:dyDescent="0.3">
      <c r="A87" s="7">
        <v>45893</v>
      </c>
      <c r="B87" s="6" t="s">
        <v>38</v>
      </c>
      <c r="C87" s="2" t="s">
        <v>35</v>
      </c>
      <c r="D87" s="2" t="s">
        <v>36</v>
      </c>
      <c r="E87" s="2" t="s">
        <v>37</v>
      </c>
      <c r="F87" s="2">
        <v>159</v>
      </c>
      <c r="G87" s="2">
        <v>717408</v>
      </c>
    </row>
    <row r="88" spans="1:7" x14ac:dyDescent="0.3">
      <c r="A88" s="7">
        <v>45817</v>
      </c>
      <c r="B88" s="6" t="s">
        <v>38</v>
      </c>
      <c r="C88" s="2" t="s">
        <v>8</v>
      </c>
      <c r="D88" s="2" t="s">
        <v>21</v>
      </c>
      <c r="E88" s="2" t="s">
        <v>18</v>
      </c>
      <c r="F88" s="2">
        <v>22</v>
      </c>
      <c r="G88" s="2">
        <v>101552</v>
      </c>
    </row>
    <row r="89" spans="1:7" x14ac:dyDescent="0.3">
      <c r="A89" s="7">
        <v>45741</v>
      </c>
      <c r="B89" s="6" t="s">
        <v>23</v>
      </c>
      <c r="C89" s="2" t="s">
        <v>26</v>
      </c>
      <c r="D89" s="2" t="s">
        <v>21</v>
      </c>
      <c r="E89" s="2" t="s">
        <v>34</v>
      </c>
      <c r="F89" s="2">
        <v>440</v>
      </c>
      <c r="G89" s="2">
        <v>3002560</v>
      </c>
    </row>
    <row r="90" spans="1:7" x14ac:dyDescent="0.3">
      <c r="A90" s="7">
        <v>45962</v>
      </c>
      <c r="B90" s="6" t="s">
        <v>39</v>
      </c>
      <c r="C90" s="2" t="s">
        <v>16</v>
      </c>
      <c r="D90" s="2" t="s">
        <v>17</v>
      </c>
      <c r="E90" s="2" t="s">
        <v>32</v>
      </c>
      <c r="F90" s="2">
        <v>332</v>
      </c>
      <c r="G90" s="2">
        <v>1086636</v>
      </c>
    </row>
    <row r="91" spans="1:7" x14ac:dyDescent="0.3">
      <c r="A91" s="7">
        <v>46017</v>
      </c>
      <c r="B91" s="6" t="s">
        <v>23</v>
      </c>
      <c r="C91" s="2" t="s">
        <v>8</v>
      </c>
      <c r="D91" s="2" t="s">
        <v>29</v>
      </c>
      <c r="E91" s="2" t="s">
        <v>27</v>
      </c>
      <c r="F91" s="2">
        <v>149</v>
      </c>
      <c r="G91" s="2">
        <v>176714</v>
      </c>
    </row>
    <row r="92" spans="1:7" x14ac:dyDescent="0.3">
      <c r="A92" s="7">
        <v>45946</v>
      </c>
      <c r="B92" s="6" t="s">
        <v>7</v>
      </c>
      <c r="C92" s="2" t="s">
        <v>26</v>
      </c>
      <c r="D92" s="2" t="s">
        <v>13</v>
      </c>
      <c r="E92" s="2" t="s">
        <v>32</v>
      </c>
      <c r="F92" s="2">
        <v>93</v>
      </c>
      <c r="G92" s="2">
        <v>364839</v>
      </c>
    </row>
    <row r="93" spans="1:7" x14ac:dyDescent="0.3">
      <c r="A93" s="7">
        <v>46013</v>
      </c>
      <c r="B93" s="6" t="s">
        <v>11</v>
      </c>
      <c r="C93" s="2" t="s">
        <v>12</v>
      </c>
      <c r="D93" s="2" t="s">
        <v>13</v>
      </c>
      <c r="E93" s="2" t="s">
        <v>37</v>
      </c>
      <c r="F93" s="2">
        <v>323</v>
      </c>
      <c r="G93" s="2">
        <v>2351763</v>
      </c>
    </row>
    <row r="94" spans="1:7" x14ac:dyDescent="0.3">
      <c r="A94" s="7">
        <v>45862</v>
      </c>
      <c r="B94" s="6" t="s">
        <v>23</v>
      </c>
      <c r="C94" s="2" t="s">
        <v>12</v>
      </c>
      <c r="D94" s="2" t="s">
        <v>17</v>
      </c>
      <c r="E94" s="2" t="s">
        <v>34</v>
      </c>
      <c r="F94" s="2">
        <v>170</v>
      </c>
      <c r="G94" s="2">
        <v>1188300</v>
      </c>
    </row>
    <row r="95" spans="1:7" x14ac:dyDescent="0.3">
      <c r="A95" s="7">
        <v>45887</v>
      </c>
      <c r="B95" s="6" t="s">
        <v>15</v>
      </c>
      <c r="C95" s="2" t="s">
        <v>41</v>
      </c>
      <c r="D95" s="2" t="s">
        <v>13</v>
      </c>
      <c r="E95" s="2" t="s">
        <v>14</v>
      </c>
      <c r="F95" s="2">
        <v>483</v>
      </c>
      <c r="G95" s="2">
        <v>2887857</v>
      </c>
    </row>
    <row r="96" spans="1:7" x14ac:dyDescent="0.3">
      <c r="A96" s="7">
        <v>45672</v>
      </c>
      <c r="B96" s="6" t="s">
        <v>39</v>
      </c>
      <c r="C96" s="2" t="s">
        <v>35</v>
      </c>
      <c r="D96" s="2" t="s">
        <v>13</v>
      </c>
      <c r="E96" s="2" t="s">
        <v>40</v>
      </c>
      <c r="F96" s="2">
        <v>438</v>
      </c>
      <c r="G96" s="2">
        <v>2697642</v>
      </c>
    </row>
    <row r="97" spans="1:7" x14ac:dyDescent="0.3">
      <c r="A97" s="7">
        <v>45791</v>
      </c>
      <c r="B97" s="6" t="s">
        <v>39</v>
      </c>
      <c r="C97" s="2" t="s">
        <v>41</v>
      </c>
      <c r="D97" s="2" t="s">
        <v>33</v>
      </c>
      <c r="E97" s="2" t="s">
        <v>34</v>
      </c>
      <c r="F97" s="2">
        <v>472</v>
      </c>
      <c r="G97" s="2">
        <v>3571624</v>
      </c>
    </row>
    <row r="98" spans="1:7" x14ac:dyDescent="0.3">
      <c r="A98" s="7">
        <v>46000</v>
      </c>
      <c r="B98" s="6" t="s">
        <v>25</v>
      </c>
      <c r="C98" s="2" t="s">
        <v>41</v>
      </c>
      <c r="D98" s="2" t="s">
        <v>17</v>
      </c>
      <c r="E98" s="2" t="s">
        <v>24</v>
      </c>
      <c r="F98" s="2">
        <v>430</v>
      </c>
      <c r="G98" s="2">
        <v>2591180</v>
      </c>
    </row>
    <row r="99" spans="1:7" x14ac:dyDescent="0.3">
      <c r="A99" s="7">
        <v>45982</v>
      </c>
      <c r="B99" s="6" t="s">
        <v>23</v>
      </c>
      <c r="C99" s="2" t="s">
        <v>8</v>
      </c>
      <c r="D99" s="2" t="s">
        <v>9</v>
      </c>
      <c r="E99" s="2" t="s">
        <v>24</v>
      </c>
      <c r="F99" s="2">
        <v>342</v>
      </c>
      <c r="G99" s="2">
        <v>2546874</v>
      </c>
    </row>
    <row r="100" spans="1:7" x14ac:dyDescent="0.3">
      <c r="A100" s="7">
        <v>45961</v>
      </c>
      <c r="B100" s="6" t="s">
        <v>39</v>
      </c>
      <c r="C100" s="2" t="s">
        <v>20</v>
      </c>
      <c r="D100" s="2" t="s">
        <v>13</v>
      </c>
      <c r="E100" s="2" t="s">
        <v>24</v>
      </c>
      <c r="F100" s="2">
        <v>390</v>
      </c>
      <c r="G100" s="2">
        <v>2200380</v>
      </c>
    </row>
    <row r="101" spans="1:7" x14ac:dyDescent="0.3">
      <c r="A101" s="7">
        <v>45665</v>
      </c>
      <c r="B101" s="6" t="s">
        <v>23</v>
      </c>
      <c r="C101" s="2" t="s">
        <v>8</v>
      </c>
      <c r="D101" s="2" t="s">
        <v>9</v>
      </c>
      <c r="E101" s="2" t="s">
        <v>34</v>
      </c>
      <c r="F101" s="2">
        <v>375</v>
      </c>
      <c r="G101" s="2">
        <v>886125</v>
      </c>
    </row>
    <row r="102" spans="1:7" x14ac:dyDescent="0.3">
      <c r="A102" s="7">
        <v>45861</v>
      </c>
      <c r="B102" s="6" t="s">
        <v>39</v>
      </c>
      <c r="C102" s="2" t="s">
        <v>8</v>
      </c>
      <c r="D102" s="2" t="s">
        <v>9</v>
      </c>
      <c r="E102" s="2" t="s">
        <v>10</v>
      </c>
      <c r="F102" s="2">
        <v>373</v>
      </c>
      <c r="G102" s="2">
        <v>1179426</v>
      </c>
    </row>
    <row r="103" spans="1:7" x14ac:dyDescent="0.3">
      <c r="A103" s="7">
        <v>45890</v>
      </c>
      <c r="B103" s="6" t="s">
        <v>15</v>
      </c>
      <c r="C103" s="2" t="s">
        <v>12</v>
      </c>
      <c r="D103" s="2" t="s">
        <v>36</v>
      </c>
      <c r="E103" s="2" t="s">
        <v>10</v>
      </c>
      <c r="F103" s="2">
        <v>402</v>
      </c>
      <c r="G103" s="2">
        <v>949122</v>
      </c>
    </row>
    <row r="104" spans="1:7" x14ac:dyDescent="0.3">
      <c r="A104" s="7">
        <v>45839</v>
      </c>
      <c r="B104" s="6" t="s">
        <v>39</v>
      </c>
      <c r="C104" s="2" t="s">
        <v>35</v>
      </c>
      <c r="D104" s="2" t="s">
        <v>9</v>
      </c>
      <c r="E104" s="2" t="s">
        <v>14</v>
      </c>
      <c r="F104" s="2">
        <v>40</v>
      </c>
      <c r="G104" s="2">
        <v>284600</v>
      </c>
    </row>
    <row r="105" spans="1:7" x14ac:dyDescent="0.3">
      <c r="A105" s="7">
        <v>45877</v>
      </c>
      <c r="B105" s="6" t="s">
        <v>30</v>
      </c>
      <c r="C105" s="2" t="s">
        <v>41</v>
      </c>
      <c r="D105" s="2" t="s">
        <v>13</v>
      </c>
      <c r="E105" s="2" t="s">
        <v>18</v>
      </c>
      <c r="F105" s="2">
        <v>28</v>
      </c>
      <c r="G105" s="2">
        <v>198744</v>
      </c>
    </row>
    <row r="106" spans="1:7" x14ac:dyDescent="0.3">
      <c r="A106" s="7">
        <v>45757</v>
      </c>
      <c r="B106" s="6" t="s">
        <v>38</v>
      </c>
      <c r="C106" s="2" t="s">
        <v>35</v>
      </c>
      <c r="D106" s="2" t="s">
        <v>36</v>
      </c>
      <c r="E106" s="2" t="s">
        <v>34</v>
      </c>
      <c r="F106" s="2">
        <v>103</v>
      </c>
      <c r="G106" s="2">
        <v>688555</v>
      </c>
    </row>
    <row r="107" spans="1:7" x14ac:dyDescent="0.3">
      <c r="A107" s="7">
        <v>45812</v>
      </c>
      <c r="B107" s="6" t="s">
        <v>11</v>
      </c>
      <c r="C107" s="2" t="s">
        <v>8</v>
      </c>
      <c r="D107" s="2" t="s">
        <v>9</v>
      </c>
      <c r="E107" s="2" t="s">
        <v>10</v>
      </c>
      <c r="F107" s="2">
        <v>85</v>
      </c>
      <c r="G107" s="2">
        <v>192440</v>
      </c>
    </row>
    <row r="108" spans="1:7" x14ac:dyDescent="0.3">
      <c r="A108" s="7">
        <v>45720</v>
      </c>
      <c r="B108" s="6" t="s">
        <v>23</v>
      </c>
      <c r="C108" s="2" t="s">
        <v>20</v>
      </c>
      <c r="D108" s="2" t="s">
        <v>36</v>
      </c>
      <c r="E108" s="2" t="s">
        <v>27</v>
      </c>
      <c r="F108" s="2">
        <v>128</v>
      </c>
      <c r="G108" s="2">
        <v>266624</v>
      </c>
    </row>
    <row r="109" spans="1:7" x14ac:dyDescent="0.3">
      <c r="A109" s="7">
        <v>45997</v>
      </c>
      <c r="B109" s="6" t="s">
        <v>25</v>
      </c>
      <c r="C109" s="2" t="s">
        <v>20</v>
      </c>
      <c r="D109" s="2" t="s">
        <v>29</v>
      </c>
      <c r="E109" s="2" t="s">
        <v>24</v>
      </c>
      <c r="F109" s="2">
        <v>196</v>
      </c>
      <c r="G109" s="2">
        <v>749308</v>
      </c>
    </row>
    <row r="110" spans="1:7" x14ac:dyDescent="0.3">
      <c r="A110" s="7">
        <v>45882</v>
      </c>
      <c r="B110" s="6" t="s">
        <v>19</v>
      </c>
      <c r="C110" s="2" t="s">
        <v>16</v>
      </c>
      <c r="D110" s="2" t="s">
        <v>36</v>
      </c>
      <c r="E110" s="2" t="s">
        <v>22</v>
      </c>
      <c r="F110" s="2">
        <v>143</v>
      </c>
      <c r="G110" s="2">
        <v>405977</v>
      </c>
    </row>
    <row r="111" spans="1:7" x14ac:dyDescent="0.3">
      <c r="A111" s="7">
        <v>45764</v>
      </c>
      <c r="B111" s="6" t="s">
        <v>28</v>
      </c>
      <c r="C111" s="2" t="s">
        <v>8</v>
      </c>
      <c r="D111" s="2" t="s">
        <v>9</v>
      </c>
      <c r="E111" s="2" t="s">
        <v>24</v>
      </c>
      <c r="F111" s="2">
        <v>429</v>
      </c>
      <c r="G111" s="2">
        <v>688116</v>
      </c>
    </row>
    <row r="112" spans="1:7" x14ac:dyDescent="0.3">
      <c r="A112" s="7">
        <v>45690</v>
      </c>
      <c r="B112" s="6" t="s">
        <v>7</v>
      </c>
      <c r="C112" s="2" t="s">
        <v>31</v>
      </c>
      <c r="D112" s="2" t="s">
        <v>33</v>
      </c>
      <c r="E112" s="2" t="s">
        <v>24</v>
      </c>
      <c r="F112" s="2">
        <v>314</v>
      </c>
      <c r="G112" s="2">
        <v>1748666</v>
      </c>
    </row>
    <row r="113" spans="1:7" x14ac:dyDescent="0.3">
      <c r="A113" s="7">
        <v>45980</v>
      </c>
      <c r="B113" s="6" t="s">
        <v>28</v>
      </c>
      <c r="C113" s="2" t="s">
        <v>41</v>
      </c>
      <c r="D113" s="2" t="s">
        <v>21</v>
      </c>
      <c r="E113" s="2" t="s">
        <v>22</v>
      </c>
      <c r="F113" s="2">
        <v>498</v>
      </c>
      <c r="G113" s="2">
        <v>2705136</v>
      </c>
    </row>
    <row r="114" spans="1:7" x14ac:dyDescent="0.3">
      <c r="A114" s="7">
        <v>45974</v>
      </c>
      <c r="B114" s="6" t="s">
        <v>25</v>
      </c>
      <c r="C114" s="2" t="s">
        <v>31</v>
      </c>
      <c r="D114" s="2" t="s">
        <v>21</v>
      </c>
      <c r="E114" s="2" t="s">
        <v>40</v>
      </c>
      <c r="F114" s="2">
        <v>303</v>
      </c>
      <c r="G114" s="2">
        <v>1492578</v>
      </c>
    </row>
    <row r="115" spans="1:7" x14ac:dyDescent="0.3">
      <c r="A115" s="7">
        <v>45996</v>
      </c>
      <c r="B115" s="6" t="s">
        <v>19</v>
      </c>
      <c r="C115" s="2" t="s">
        <v>35</v>
      </c>
      <c r="D115" s="2" t="s">
        <v>21</v>
      </c>
      <c r="E115" s="2" t="s">
        <v>22</v>
      </c>
      <c r="F115" s="2">
        <v>119</v>
      </c>
      <c r="G115" s="2">
        <v>555016</v>
      </c>
    </row>
    <row r="116" spans="1:7" x14ac:dyDescent="0.3">
      <c r="A116" s="7">
        <v>46004</v>
      </c>
      <c r="B116" s="6" t="s">
        <v>28</v>
      </c>
      <c r="C116" s="2" t="s">
        <v>8</v>
      </c>
      <c r="D116" s="2" t="s">
        <v>29</v>
      </c>
      <c r="E116" s="2" t="s">
        <v>34</v>
      </c>
      <c r="F116" s="2">
        <v>27</v>
      </c>
      <c r="G116" s="2">
        <v>135243</v>
      </c>
    </row>
    <row r="117" spans="1:7" x14ac:dyDescent="0.3">
      <c r="A117" s="7">
        <v>45804</v>
      </c>
      <c r="B117" s="6" t="s">
        <v>25</v>
      </c>
      <c r="C117" s="2" t="s">
        <v>26</v>
      </c>
      <c r="D117" s="2" t="s">
        <v>13</v>
      </c>
      <c r="E117" s="2" t="s">
        <v>27</v>
      </c>
      <c r="F117" s="2">
        <v>210</v>
      </c>
      <c r="G117" s="2">
        <v>1454880</v>
      </c>
    </row>
    <row r="118" spans="1:7" x14ac:dyDescent="0.3">
      <c r="A118" s="7">
        <v>45700</v>
      </c>
      <c r="B118" s="6" t="s">
        <v>23</v>
      </c>
      <c r="C118" s="2" t="s">
        <v>12</v>
      </c>
      <c r="D118" s="2" t="s">
        <v>13</v>
      </c>
      <c r="E118" s="2" t="s">
        <v>24</v>
      </c>
      <c r="F118" s="2">
        <v>133</v>
      </c>
      <c r="G118" s="2">
        <v>1037134</v>
      </c>
    </row>
    <row r="119" spans="1:7" x14ac:dyDescent="0.3">
      <c r="A119" s="7">
        <v>45911</v>
      </c>
      <c r="B119" s="6" t="s">
        <v>15</v>
      </c>
      <c r="C119" s="2" t="s">
        <v>16</v>
      </c>
      <c r="D119" s="2" t="s">
        <v>9</v>
      </c>
      <c r="E119" s="2" t="s">
        <v>37</v>
      </c>
      <c r="F119" s="2">
        <v>17</v>
      </c>
      <c r="G119" s="2">
        <v>103428</v>
      </c>
    </row>
    <row r="120" spans="1:7" x14ac:dyDescent="0.3">
      <c r="A120" s="7">
        <v>45985</v>
      </c>
      <c r="B120" s="6" t="s">
        <v>7</v>
      </c>
      <c r="C120" s="2" t="s">
        <v>16</v>
      </c>
      <c r="D120" s="2" t="s">
        <v>9</v>
      </c>
      <c r="E120" s="2" t="s">
        <v>10</v>
      </c>
      <c r="F120" s="2">
        <v>114</v>
      </c>
      <c r="G120" s="2">
        <v>125400</v>
      </c>
    </row>
    <row r="121" spans="1:7" x14ac:dyDescent="0.3">
      <c r="A121" s="7">
        <v>45950</v>
      </c>
      <c r="B121" s="6" t="s">
        <v>38</v>
      </c>
      <c r="C121" s="2" t="s">
        <v>20</v>
      </c>
      <c r="D121" s="2" t="s">
        <v>36</v>
      </c>
      <c r="E121" s="2" t="s">
        <v>18</v>
      </c>
      <c r="F121" s="2">
        <v>145</v>
      </c>
      <c r="G121" s="2">
        <v>918430</v>
      </c>
    </row>
    <row r="122" spans="1:7" x14ac:dyDescent="0.3">
      <c r="A122" s="7">
        <v>45704</v>
      </c>
      <c r="B122" s="6" t="s">
        <v>38</v>
      </c>
      <c r="C122" s="2" t="s">
        <v>20</v>
      </c>
      <c r="D122" s="2" t="s">
        <v>36</v>
      </c>
      <c r="E122" s="2" t="s">
        <v>32</v>
      </c>
      <c r="F122" s="2">
        <v>476</v>
      </c>
      <c r="G122" s="2">
        <v>3737552</v>
      </c>
    </row>
    <row r="123" spans="1:7" x14ac:dyDescent="0.3">
      <c r="A123" s="7">
        <v>45934</v>
      </c>
      <c r="B123" s="6" t="s">
        <v>30</v>
      </c>
      <c r="C123" s="2" t="s">
        <v>12</v>
      </c>
      <c r="D123" s="2" t="s">
        <v>21</v>
      </c>
      <c r="E123" s="2" t="s">
        <v>34</v>
      </c>
      <c r="F123" s="2">
        <v>274</v>
      </c>
      <c r="G123" s="2">
        <v>1907040</v>
      </c>
    </row>
    <row r="124" spans="1:7" x14ac:dyDescent="0.3">
      <c r="A124" s="7">
        <v>45777</v>
      </c>
      <c r="B124" s="6" t="s">
        <v>28</v>
      </c>
      <c r="C124" s="2" t="s">
        <v>20</v>
      </c>
      <c r="D124" s="2" t="s">
        <v>9</v>
      </c>
      <c r="E124" s="2" t="s">
        <v>27</v>
      </c>
      <c r="F124" s="2">
        <v>229</v>
      </c>
      <c r="G124" s="2">
        <v>1479798</v>
      </c>
    </row>
    <row r="125" spans="1:7" x14ac:dyDescent="0.3">
      <c r="A125" s="7">
        <v>45681</v>
      </c>
      <c r="B125" s="6" t="s">
        <v>11</v>
      </c>
      <c r="C125" s="2" t="s">
        <v>20</v>
      </c>
      <c r="D125" s="2" t="s">
        <v>21</v>
      </c>
      <c r="E125" s="2" t="s">
        <v>27</v>
      </c>
      <c r="F125" s="2">
        <v>11</v>
      </c>
      <c r="G125" s="2">
        <v>27016</v>
      </c>
    </row>
    <row r="126" spans="1:7" x14ac:dyDescent="0.3">
      <c r="A126" s="7">
        <v>45750</v>
      </c>
      <c r="B126" s="6" t="s">
        <v>25</v>
      </c>
      <c r="C126" s="2" t="s">
        <v>35</v>
      </c>
      <c r="D126" s="2" t="s">
        <v>17</v>
      </c>
      <c r="E126" s="2" t="s">
        <v>14</v>
      </c>
      <c r="F126" s="2">
        <v>170</v>
      </c>
      <c r="G126" s="2">
        <v>406640</v>
      </c>
    </row>
    <row r="127" spans="1:7" x14ac:dyDescent="0.3">
      <c r="A127" s="7">
        <v>45693</v>
      </c>
      <c r="B127" s="6" t="s">
        <v>30</v>
      </c>
      <c r="C127" s="2" t="s">
        <v>20</v>
      </c>
      <c r="D127" s="2" t="s">
        <v>17</v>
      </c>
      <c r="E127" s="2" t="s">
        <v>18</v>
      </c>
      <c r="F127" s="2">
        <v>469</v>
      </c>
      <c r="G127" s="2">
        <v>1992312</v>
      </c>
    </row>
    <row r="128" spans="1:7" x14ac:dyDescent="0.3">
      <c r="A128" s="7">
        <v>45880</v>
      </c>
      <c r="B128" s="6" t="s">
        <v>19</v>
      </c>
      <c r="C128" s="2" t="s">
        <v>26</v>
      </c>
      <c r="D128" s="2" t="s">
        <v>13</v>
      </c>
      <c r="E128" s="2" t="s">
        <v>40</v>
      </c>
      <c r="F128" s="2">
        <v>394</v>
      </c>
      <c r="G128" s="2">
        <v>3074382</v>
      </c>
    </row>
    <row r="129" spans="1:7" x14ac:dyDescent="0.3">
      <c r="A129" s="7">
        <v>45840</v>
      </c>
      <c r="B129" s="6" t="s">
        <v>39</v>
      </c>
      <c r="C129" s="2" t="s">
        <v>12</v>
      </c>
      <c r="D129" s="2" t="s">
        <v>13</v>
      </c>
      <c r="E129" s="2" t="s">
        <v>10</v>
      </c>
      <c r="F129" s="2">
        <v>113</v>
      </c>
      <c r="G129" s="2">
        <v>721166</v>
      </c>
    </row>
    <row r="130" spans="1:7" x14ac:dyDescent="0.3">
      <c r="A130" s="7">
        <v>45731</v>
      </c>
      <c r="B130" s="6" t="s">
        <v>19</v>
      </c>
      <c r="C130" s="2" t="s">
        <v>20</v>
      </c>
      <c r="D130" s="2" t="s">
        <v>36</v>
      </c>
      <c r="E130" s="2" t="s">
        <v>37</v>
      </c>
      <c r="F130" s="2">
        <v>190</v>
      </c>
      <c r="G130" s="2">
        <v>576650</v>
      </c>
    </row>
    <row r="131" spans="1:7" x14ac:dyDescent="0.3">
      <c r="A131" s="7">
        <v>45874</v>
      </c>
      <c r="B131" s="6" t="s">
        <v>39</v>
      </c>
      <c r="C131" s="2" t="s">
        <v>41</v>
      </c>
      <c r="D131" s="2" t="s">
        <v>17</v>
      </c>
      <c r="E131" s="2" t="s">
        <v>10</v>
      </c>
      <c r="F131" s="2">
        <v>419</v>
      </c>
      <c r="G131" s="2">
        <v>1786616</v>
      </c>
    </row>
    <row r="132" spans="1:7" x14ac:dyDescent="0.3">
      <c r="A132" s="7">
        <v>45705</v>
      </c>
      <c r="B132" s="6" t="s">
        <v>28</v>
      </c>
      <c r="C132" s="2" t="s">
        <v>35</v>
      </c>
      <c r="D132" s="2" t="s">
        <v>13</v>
      </c>
      <c r="E132" s="2" t="s">
        <v>22</v>
      </c>
      <c r="F132" s="2">
        <v>20</v>
      </c>
      <c r="G132" s="2">
        <v>94600</v>
      </c>
    </row>
    <row r="133" spans="1:7" x14ac:dyDescent="0.3">
      <c r="A133" s="7">
        <v>45961</v>
      </c>
      <c r="B133" s="6" t="s">
        <v>30</v>
      </c>
      <c r="C133" s="2" t="s">
        <v>12</v>
      </c>
      <c r="D133" s="2" t="s">
        <v>13</v>
      </c>
      <c r="E133" s="2" t="s">
        <v>24</v>
      </c>
      <c r="F133" s="2">
        <v>97</v>
      </c>
      <c r="G133" s="2">
        <v>142202</v>
      </c>
    </row>
    <row r="134" spans="1:7" x14ac:dyDescent="0.3">
      <c r="A134" s="7">
        <v>45669</v>
      </c>
      <c r="B134" s="6" t="s">
        <v>7</v>
      </c>
      <c r="C134" s="2" t="s">
        <v>20</v>
      </c>
      <c r="D134" s="2" t="s">
        <v>33</v>
      </c>
      <c r="E134" s="2" t="s">
        <v>27</v>
      </c>
      <c r="F134" s="2">
        <v>129</v>
      </c>
      <c r="G134" s="2">
        <v>416283</v>
      </c>
    </row>
    <row r="135" spans="1:7" x14ac:dyDescent="0.3">
      <c r="A135" s="7">
        <v>45936</v>
      </c>
      <c r="B135" s="6" t="s">
        <v>7</v>
      </c>
      <c r="C135" s="2" t="s">
        <v>35</v>
      </c>
      <c r="D135" s="2" t="s">
        <v>13</v>
      </c>
      <c r="E135" s="2" t="s">
        <v>22</v>
      </c>
      <c r="F135" s="2">
        <v>424</v>
      </c>
      <c r="G135" s="2">
        <v>2929840</v>
      </c>
    </row>
    <row r="136" spans="1:7" x14ac:dyDescent="0.3">
      <c r="A136" s="7">
        <v>45778</v>
      </c>
      <c r="B136" s="6" t="s">
        <v>15</v>
      </c>
      <c r="C136" s="2" t="s">
        <v>41</v>
      </c>
      <c r="D136" s="2" t="s">
        <v>29</v>
      </c>
      <c r="E136" s="2" t="s">
        <v>22</v>
      </c>
      <c r="F136" s="2">
        <v>345</v>
      </c>
      <c r="G136" s="2">
        <v>2181090</v>
      </c>
    </row>
    <row r="137" spans="1:7" x14ac:dyDescent="0.3">
      <c r="A137" s="7">
        <v>45779</v>
      </c>
      <c r="B137" s="6" t="s">
        <v>15</v>
      </c>
      <c r="C137" s="2" t="s">
        <v>12</v>
      </c>
      <c r="D137" s="2" t="s">
        <v>13</v>
      </c>
      <c r="E137" s="2" t="s">
        <v>22</v>
      </c>
      <c r="F137" s="2">
        <v>473</v>
      </c>
      <c r="G137" s="2">
        <v>1165472</v>
      </c>
    </row>
    <row r="138" spans="1:7" x14ac:dyDescent="0.3">
      <c r="A138" s="7">
        <v>45770</v>
      </c>
      <c r="B138" s="6" t="s">
        <v>39</v>
      </c>
      <c r="C138" s="2" t="s">
        <v>8</v>
      </c>
      <c r="D138" s="2" t="s">
        <v>17</v>
      </c>
      <c r="E138" s="2" t="s">
        <v>32</v>
      </c>
      <c r="F138" s="2">
        <v>409</v>
      </c>
      <c r="G138" s="2">
        <v>2865454</v>
      </c>
    </row>
    <row r="139" spans="1:7" x14ac:dyDescent="0.3">
      <c r="A139" s="7">
        <v>45933</v>
      </c>
      <c r="B139" s="6" t="s">
        <v>30</v>
      </c>
      <c r="C139" s="2" t="s">
        <v>31</v>
      </c>
      <c r="D139" s="2" t="s">
        <v>29</v>
      </c>
      <c r="E139" s="2" t="s">
        <v>14</v>
      </c>
      <c r="F139" s="2">
        <v>355</v>
      </c>
      <c r="G139" s="2">
        <v>2745925</v>
      </c>
    </row>
    <row r="140" spans="1:7" x14ac:dyDescent="0.3">
      <c r="A140" s="7">
        <v>45921</v>
      </c>
      <c r="B140" s="6" t="s">
        <v>11</v>
      </c>
      <c r="C140" s="2" t="s">
        <v>41</v>
      </c>
      <c r="D140" s="2" t="s">
        <v>36</v>
      </c>
      <c r="E140" s="2" t="s">
        <v>27</v>
      </c>
      <c r="F140" s="2">
        <v>165</v>
      </c>
      <c r="G140" s="2">
        <v>1100880</v>
      </c>
    </row>
    <row r="141" spans="1:7" x14ac:dyDescent="0.3">
      <c r="A141" s="7">
        <v>45990</v>
      </c>
      <c r="B141" s="6" t="s">
        <v>39</v>
      </c>
      <c r="C141" s="2" t="s">
        <v>31</v>
      </c>
      <c r="D141" s="2" t="s">
        <v>17</v>
      </c>
      <c r="E141" s="2" t="s">
        <v>40</v>
      </c>
      <c r="F141" s="2">
        <v>209</v>
      </c>
      <c r="G141" s="2">
        <v>1640441</v>
      </c>
    </row>
    <row r="142" spans="1:7" x14ac:dyDescent="0.3">
      <c r="A142" s="7">
        <v>45927</v>
      </c>
      <c r="B142" s="6" t="s">
        <v>25</v>
      </c>
      <c r="C142" s="2" t="s">
        <v>16</v>
      </c>
      <c r="D142" s="2" t="s">
        <v>13</v>
      </c>
      <c r="E142" s="2" t="s">
        <v>37</v>
      </c>
      <c r="F142" s="2">
        <v>347</v>
      </c>
      <c r="G142" s="2">
        <v>1414025</v>
      </c>
    </row>
    <row r="143" spans="1:7" x14ac:dyDescent="0.3">
      <c r="A143" s="7">
        <v>45931</v>
      </c>
      <c r="B143" s="6" t="s">
        <v>19</v>
      </c>
      <c r="C143" s="2" t="s">
        <v>8</v>
      </c>
      <c r="D143" s="2" t="s">
        <v>33</v>
      </c>
      <c r="E143" s="2" t="s">
        <v>18</v>
      </c>
      <c r="F143" s="2">
        <v>258</v>
      </c>
      <c r="G143" s="2">
        <v>1952544</v>
      </c>
    </row>
    <row r="144" spans="1:7" x14ac:dyDescent="0.3">
      <c r="A144" s="7">
        <v>46004</v>
      </c>
      <c r="B144" s="6" t="s">
        <v>38</v>
      </c>
      <c r="C144" s="2" t="s">
        <v>8</v>
      </c>
      <c r="D144" s="2" t="s">
        <v>36</v>
      </c>
      <c r="E144" s="2" t="s">
        <v>40</v>
      </c>
      <c r="F144" s="2">
        <v>406</v>
      </c>
      <c r="G144" s="2">
        <v>785610</v>
      </c>
    </row>
    <row r="145" spans="1:7" x14ac:dyDescent="0.3">
      <c r="A145" s="7">
        <v>45950</v>
      </c>
      <c r="B145" s="6" t="s">
        <v>11</v>
      </c>
      <c r="C145" s="2" t="s">
        <v>12</v>
      </c>
      <c r="D145" s="2" t="s">
        <v>17</v>
      </c>
      <c r="E145" s="2" t="s">
        <v>27</v>
      </c>
      <c r="F145" s="2">
        <v>11</v>
      </c>
      <c r="G145" s="2">
        <v>62282</v>
      </c>
    </row>
    <row r="146" spans="1:7" x14ac:dyDescent="0.3">
      <c r="A146" s="7">
        <v>45773</v>
      </c>
      <c r="B146" s="6" t="s">
        <v>39</v>
      </c>
      <c r="C146" s="2" t="s">
        <v>31</v>
      </c>
      <c r="D146" s="2" t="s">
        <v>17</v>
      </c>
      <c r="E146" s="2" t="s">
        <v>27</v>
      </c>
      <c r="F146" s="2">
        <v>206</v>
      </c>
      <c r="G146" s="2">
        <v>1276582</v>
      </c>
    </row>
    <row r="147" spans="1:7" x14ac:dyDescent="0.3">
      <c r="A147" s="7">
        <v>45723</v>
      </c>
      <c r="B147" s="6" t="s">
        <v>28</v>
      </c>
      <c r="C147" s="2" t="s">
        <v>31</v>
      </c>
      <c r="D147" s="2" t="s">
        <v>13</v>
      </c>
      <c r="E147" s="2" t="s">
        <v>40</v>
      </c>
      <c r="F147" s="2">
        <v>438</v>
      </c>
      <c r="G147" s="2">
        <v>3143964</v>
      </c>
    </row>
    <row r="148" spans="1:7" x14ac:dyDescent="0.3">
      <c r="A148" s="7">
        <v>45950</v>
      </c>
      <c r="B148" s="6" t="s">
        <v>30</v>
      </c>
      <c r="C148" s="2" t="s">
        <v>20</v>
      </c>
      <c r="D148" s="2" t="s">
        <v>29</v>
      </c>
      <c r="E148" s="2" t="s">
        <v>32</v>
      </c>
      <c r="F148" s="2">
        <v>405</v>
      </c>
      <c r="G148" s="2">
        <v>2435670</v>
      </c>
    </row>
    <row r="149" spans="1:7" x14ac:dyDescent="0.3">
      <c r="A149" s="7">
        <v>45799</v>
      </c>
      <c r="B149" s="6" t="s">
        <v>28</v>
      </c>
      <c r="C149" s="2" t="s">
        <v>35</v>
      </c>
      <c r="D149" s="2" t="s">
        <v>29</v>
      </c>
      <c r="E149" s="2" t="s">
        <v>32</v>
      </c>
      <c r="F149" s="2">
        <v>181</v>
      </c>
      <c r="G149" s="2">
        <v>1349898</v>
      </c>
    </row>
    <row r="150" spans="1:7" x14ac:dyDescent="0.3">
      <c r="A150" s="7">
        <v>45845</v>
      </c>
      <c r="B150" s="6" t="s">
        <v>39</v>
      </c>
      <c r="C150" s="2" t="s">
        <v>41</v>
      </c>
      <c r="D150" s="2" t="s">
        <v>17</v>
      </c>
      <c r="E150" s="2" t="s">
        <v>40</v>
      </c>
      <c r="F150" s="2">
        <v>108</v>
      </c>
      <c r="G150" s="2">
        <v>414504</v>
      </c>
    </row>
    <row r="151" spans="1:7" x14ac:dyDescent="0.3">
      <c r="A151" s="7">
        <v>46006</v>
      </c>
      <c r="B151" s="6" t="s">
        <v>30</v>
      </c>
      <c r="C151" s="2" t="s">
        <v>35</v>
      </c>
      <c r="D151" s="2" t="s">
        <v>13</v>
      </c>
      <c r="E151" s="2" t="s">
        <v>10</v>
      </c>
      <c r="F151" s="2">
        <v>380</v>
      </c>
      <c r="G151" s="2">
        <v>1441720</v>
      </c>
    </row>
    <row r="152" spans="1:7" x14ac:dyDescent="0.3">
      <c r="A152" s="7">
        <v>46009</v>
      </c>
      <c r="B152" s="6" t="s">
        <v>25</v>
      </c>
      <c r="C152" s="2" t="s">
        <v>41</v>
      </c>
      <c r="D152" s="2" t="s">
        <v>9</v>
      </c>
      <c r="E152" s="2" t="s">
        <v>34</v>
      </c>
      <c r="F152" s="2">
        <v>212</v>
      </c>
      <c r="G152" s="2">
        <v>1447748</v>
      </c>
    </row>
    <row r="153" spans="1:7" x14ac:dyDescent="0.3">
      <c r="A153" s="7">
        <v>45840</v>
      </c>
      <c r="B153" s="6" t="s">
        <v>38</v>
      </c>
      <c r="C153" s="2" t="s">
        <v>16</v>
      </c>
      <c r="D153" s="2" t="s">
        <v>9</v>
      </c>
      <c r="E153" s="2" t="s">
        <v>10</v>
      </c>
      <c r="F153" s="2">
        <v>325</v>
      </c>
      <c r="G153" s="2">
        <v>2514850</v>
      </c>
    </row>
    <row r="154" spans="1:7" x14ac:dyDescent="0.3">
      <c r="A154" s="7">
        <v>45911</v>
      </c>
      <c r="B154" s="6" t="s">
        <v>39</v>
      </c>
      <c r="C154" s="2" t="s">
        <v>16</v>
      </c>
      <c r="D154" s="2" t="s">
        <v>21</v>
      </c>
      <c r="E154" s="2" t="s">
        <v>10</v>
      </c>
      <c r="F154" s="2">
        <v>437</v>
      </c>
      <c r="G154" s="2">
        <v>583832</v>
      </c>
    </row>
    <row r="155" spans="1:7" x14ac:dyDescent="0.3">
      <c r="A155" s="7">
        <v>45753</v>
      </c>
      <c r="B155" s="6" t="s">
        <v>19</v>
      </c>
      <c r="C155" s="2" t="s">
        <v>8</v>
      </c>
      <c r="D155" s="2" t="s">
        <v>29</v>
      </c>
      <c r="E155" s="2" t="s">
        <v>27</v>
      </c>
      <c r="F155" s="2">
        <v>481</v>
      </c>
      <c r="G155" s="2">
        <v>761904</v>
      </c>
    </row>
    <row r="156" spans="1:7" x14ac:dyDescent="0.3">
      <c r="A156" s="7">
        <v>45832</v>
      </c>
      <c r="B156" s="6" t="s">
        <v>11</v>
      </c>
      <c r="C156" s="2" t="s">
        <v>20</v>
      </c>
      <c r="D156" s="2" t="s">
        <v>21</v>
      </c>
      <c r="E156" s="2" t="s">
        <v>37</v>
      </c>
      <c r="F156" s="2">
        <v>45</v>
      </c>
      <c r="G156" s="2">
        <v>325935</v>
      </c>
    </row>
    <row r="157" spans="1:7" x14ac:dyDescent="0.3">
      <c r="A157" s="7">
        <v>45903</v>
      </c>
      <c r="B157" s="6" t="s">
        <v>30</v>
      </c>
      <c r="C157" s="2" t="s">
        <v>20</v>
      </c>
      <c r="D157" s="2" t="s">
        <v>33</v>
      </c>
      <c r="E157" s="2" t="s">
        <v>32</v>
      </c>
      <c r="F157" s="2">
        <v>133</v>
      </c>
      <c r="G157" s="2">
        <v>898415</v>
      </c>
    </row>
    <row r="158" spans="1:7" x14ac:dyDescent="0.3">
      <c r="A158" s="7">
        <v>45763</v>
      </c>
      <c r="B158" s="6" t="s">
        <v>23</v>
      </c>
      <c r="C158" s="2" t="s">
        <v>16</v>
      </c>
      <c r="D158" s="2" t="s">
        <v>33</v>
      </c>
      <c r="E158" s="2" t="s">
        <v>34</v>
      </c>
      <c r="F158" s="2">
        <v>124</v>
      </c>
      <c r="G158" s="2">
        <v>153264</v>
      </c>
    </row>
    <row r="159" spans="1:7" x14ac:dyDescent="0.3">
      <c r="A159" s="7">
        <v>45665</v>
      </c>
      <c r="B159" s="6" t="s">
        <v>19</v>
      </c>
      <c r="C159" s="2" t="s">
        <v>16</v>
      </c>
      <c r="D159" s="2" t="s">
        <v>29</v>
      </c>
      <c r="E159" s="2" t="s">
        <v>32</v>
      </c>
      <c r="F159" s="2">
        <v>172</v>
      </c>
      <c r="G159" s="2">
        <v>592712</v>
      </c>
    </row>
    <row r="160" spans="1:7" x14ac:dyDescent="0.3">
      <c r="A160" s="7">
        <v>45999</v>
      </c>
      <c r="B160" s="6" t="s">
        <v>28</v>
      </c>
      <c r="C160" s="2" t="s">
        <v>16</v>
      </c>
      <c r="D160" s="2" t="s">
        <v>9</v>
      </c>
      <c r="E160" s="2" t="s">
        <v>24</v>
      </c>
      <c r="F160" s="2">
        <v>210</v>
      </c>
      <c r="G160" s="2">
        <v>417690</v>
      </c>
    </row>
    <row r="161" spans="1:7" x14ac:dyDescent="0.3">
      <c r="A161" s="7">
        <v>45697</v>
      </c>
      <c r="B161" s="6" t="s">
        <v>38</v>
      </c>
      <c r="C161" s="2" t="s">
        <v>16</v>
      </c>
      <c r="D161" s="2" t="s">
        <v>36</v>
      </c>
      <c r="E161" s="2" t="s">
        <v>32</v>
      </c>
      <c r="F161" s="2">
        <v>296</v>
      </c>
      <c r="G161" s="2">
        <v>2210232</v>
      </c>
    </row>
    <row r="162" spans="1:7" x14ac:dyDescent="0.3">
      <c r="A162" s="7">
        <v>45730</v>
      </c>
      <c r="B162" s="6" t="s">
        <v>23</v>
      </c>
      <c r="C162" s="2" t="s">
        <v>16</v>
      </c>
      <c r="D162" s="2" t="s">
        <v>36</v>
      </c>
      <c r="E162" s="2" t="s">
        <v>40</v>
      </c>
      <c r="F162" s="2">
        <v>296</v>
      </c>
      <c r="G162" s="2">
        <v>1730712</v>
      </c>
    </row>
    <row r="163" spans="1:7" x14ac:dyDescent="0.3">
      <c r="A163" s="7">
        <v>45790</v>
      </c>
      <c r="B163" s="6" t="s">
        <v>23</v>
      </c>
      <c r="C163" s="2" t="s">
        <v>26</v>
      </c>
      <c r="D163" s="2" t="s">
        <v>13</v>
      </c>
      <c r="E163" s="2" t="s">
        <v>37</v>
      </c>
      <c r="F163" s="2">
        <v>411</v>
      </c>
      <c r="G163" s="2">
        <v>2948514</v>
      </c>
    </row>
    <row r="164" spans="1:7" x14ac:dyDescent="0.3">
      <c r="A164" s="7">
        <v>46013</v>
      </c>
      <c r="B164" s="6" t="s">
        <v>28</v>
      </c>
      <c r="C164" s="2" t="s">
        <v>16</v>
      </c>
      <c r="D164" s="2" t="s">
        <v>21</v>
      </c>
      <c r="E164" s="2" t="s">
        <v>22</v>
      </c>
      <c r="F164" s="2">
        <v>191</v>
      </c>
      <c r="G164" s="2">
        <v>758270</v>
      </c>
    </row>
    <row r="165" spans="1:7" x14ac:dyDescent="0.3">
      <c r="A165" s="7">
        <v>45723</v>
      </c>
      <c r="B165" s="6" t="s">
        <v>19</v>
      </c>
      <c r="C165" s="2" t="s">
        <v>31</v>
      </c>
      <c r="D165" s="2" t="s">
        <v>9</v>
      </c>
      <c r="E165" s="2" t="s">
        <v>18</v>
      </c>
      <c r="F165" s="2">
        <v>76</v>
      </c>
      <c r="G165" s="2">
        <v>506084</v>
      </c>
    </row>
    <row r="166" spans="1:7" x14ac:dyDescent="0.3">
      <c r="A166" s="7">
        <v>45663</v>
      </c>
      <c r="B166" s="6" t="s">
        <v>15</v>
      </c>
      <c r="C166" s="2" t="s">
        <v>35</v>
      </c>
      <c r="D166" s="2" t="s">
        <v>21</v>
      </c>
      <c r="E166" s="2" t="s">
        <v>10</v>
      </c>
      <c r="F166" s="2">
        <v>174</v>
      </c>
      <c r="G166" s="2">
        <v>477456</v>
      </c>
    </row>
    <row r="167" spans="1:7" x14ac:dyDescent="0.3">
      <c r="A167" s="7">
        <v>45758</v>
      </c>
      <c r="B167" s="6" t="s">
        <v>11</v>
      </c>
      <c r="C167" s="2" t="s">
        <v>8</v>
      </c>
      <c r="D167" s="2" t="s">
        <v>29</v>
      </c>
      <c r="E167" s="2" t="s">
        <v>27</v>
      </c>
      <c r="F167" s="2">
        <v>37</v>
      </c>
      <c r="G167" s="2">
        <v>268953</v>
      </c>
    </row>
    <row r="168" spans="1:7" x14ac:dyDescent="0.3">
      <c r="A168" s="7">
        <v>45794</v>
      </c>
      <c r="B168" s="6" t="s">
        <v>23</v>
      </c>
      <c r="C168" s="2" t="s">
        <v>41</v>
      </c>
      <c r="D168" s="2" t="s">
        <v>17</v>
      </c>
      <c r="E168" s="2" t="s">
        <v>37</v>
      </c>
      <c r="F168" s="2">
        <v>385</v>
      </c>
      <c r="G168" s="2">
        <v>2825900</v>
      </c>
    </row>
    <row r="169" spans="1:7" x14ac:dyDescent="0.3">
      <c r="A169" s="7">
        <v>45782</v>
      </c>
      <c r="B169" s="6" t="s">
        <v>25</v>
      </c>
      <c r="C169" s="2" t="s">
        <v>35</v>
      </c>
      <c r="D169" s="2" t="s">
        <v>33</v>
      </c>
      <c r="E169" s="2" t="s">
        <v>10</v>
      </c>
      <c r="F169" s="2">
        <v>195</v>
      </c>
      <c r="G169" s="2">
        <v>601770</v>
      </c>
    </row>
    <row r="170" spans="1:7" x14ac:dyDescent="0.3">
      <c r="A170" s="7">
        <v>45762</v>
      </c>
      <c r="B170" s="6" t="s">
        <v>28</v>
      </c>
      <c r="C170" s="2" t="s">
        <v>31</v>
      </c>
      <c r="D170" s="2" t="s">
        <v>21</v>
      </c>
      <c r="E170" s="2" t="s">
        <v>32</v>
      </c>
      <c r="F170" s="2">
        <v>73</v>
      </c>
      <c r="G170" s="2">
        <v>462455</v>
      </c>
    </row>
    <row r="171" spans="1:7" x14ac:dyDescent="0.3">
      <c r="A171" s="7">
        <v>45759</v>
      </c>
      <c r="B171" s="6" t="s">
        <v>7</v>
      </c>
      <c r="C171" s="2" t="s">
        <v>35</v>
      </c>
      <c r="D171" s="2" t="s">
        <v>29</v>
      </c>
      <c r="E171" s="2" t="s">
        <v>40</v>
      </c>
      <c r="F171" s="2">
        <v>102</v>
      </c>
      <c r="G171" s="2">
        <v>671670</v>
      </c>
    </row>
    <row r="172" spans="1:7" x14ac:dyDescent="0.3">
      <c r="A172" s="7">
        <v>45902</v>
      </c>
      <c r="B172" s="6" t="s">
        <v>19</v>
      </c>
      <c r="C172" s="2" t="s">
        <v>16</v>
      </c>
      <c r="D172" s="2" t="s">
        <v>29</v>
      </c>
      <c r="E172" s="2" t="s">
        <v>18</v>
      </c>
      <c r="F172" s="2">
        <v>471</v>
      </c>
      <c r="G172" s="2">
        <v>1778025</v>
      </c>
    </row>
    <row r="173" spans="1:7" x14ac:dyDescent="0.3">
      <c r="A173" s="7">
        <v>45853</v>
      </c>
      <c r="B173" s="6" t="s">
        <v>7</v>
      </c>
      <c r="C173" s="2" t="s">
        <v>31</v>
      </c>
      <c r="D173" s="2" t="s">
        <v>29</v>
      </c>
      <c r="E173" s="2" t="s">
        <v>37</v>
      </c>
      <c r="F173" s="2">
        <v>412</v>
      </c>
      <c r="G173" s="2">
        <v>3140676</v>
      </c>
    </row>
    <row r="174" spans="1:7" x14ac:dyDescent="0.3">
      <c r="A174" s="7">
        <v>46001</v>
      </c>
      <c r="B174" s="6" t="s">
        <v>30</v>
      </c>
      <c r="C174" s="2" t="s">
        <v>31</v>
      </c>
      <c r="D174" s="2" t="s">
        <v>17</v>
      </c>
      <c r="E174" s="2" t="s">
        <v>10</v>
      </c>
      <c r="F174" s="2">
        <v>100</v>
      </c>
      <c r="G174" s="2">
        <v>169000</v>
      </c>
    </row>
    <row r="175" spans="1:7" x14ac:dyDescent="0.3">
      <c r="A175" s="7">
        <v>45679</v>
      </c>
      <c r="B175" s="6" t="s">
        <v>28</v>
      </c>
      <c r="C175" s="2" t="s">
        <v>26</v>
      </c>
      <c r="D175" s="2" t="s">
        <v>36</v>
      </c>
      <c r="E175" s="2" t="s">
        <v>14</v>
      </c>
      <c r="F175" s="2">
        <v>135</v>
      </c>
      <c r="G175" s="2">
        <v>601965</v>
      </c>
    </row>
    <row r="176" spans="1:7" x14ac:dyDescent="0.3">
      <c r="A176" s="7">
        <v>45793</v>
      </c>
      <c r="B176" s="6" t="s">
        <v>28</v>
      </c>
      <c r="C176" s="2" t="s">
        <v>20</v>
      </c>
      <c r="D176" s="2" t="s">
        <v>36</v>
      </c>
      <c r="E176" s="2" t="s">
        <v>22</v>
      </c>
      <c r="F176" s="2">
        <v>484</v>
      </c>
      <c r="G176" s="2">
        <v>1843072</v>
      </c>
    </row>
    <row r="177" spans="1:7" x14ac:dyDescent="0.3">
      <c r="A177" s="7">
        <v>45817</v>
      </c>
      <c r="B177" s="6" t="s">
        <v>39</v>
      </c>
      <c r="C177" s="2" t="s">
        <v>20</v>
      </c>
      <c r="D177" s="2" t="s">
        <v>21</v>
      </c>
      <c r="E177" s="2" t="s">
        <v>14</v>
      </c>
      <c r="F177" s="2">
        <v>481</v>
      </c>
      <c r="G177" s="2">
        <v>972101</v>
      </c>
    </row>
    <row r="178" spans="1:7" x14ac:dyDescent="0.3">
      <c r="A178" s="7">
        <v>45970</v>
      </c>
      <c r="B178" s="6" t="s">
        <v>38</v>
      </c>
      <c r="C178" s="2" t="s">
        <v>26</v>
      </c>
      <c r="D178" s="2" t="s">
        <v>17</v>
      </c>
      <c r="E178" s="2" t="s">
        <v>27</v>
      </c>
      <c r="F178" s="2">
        <v>218</v>
      </c>
      <c r="G178" s="2">
        <v>1377324</v>
      </c>
    </row>
    <row r="179" spans="1:7" x14ac:dyDescent="0.3">
      <c r="A179" s="7">
        <v>45833</v>
      </c>
      <c r="B179" s="6" t="s">
        <v>38</v>
      </c>
      <c r="C179" s="2" t="s">
        <v>12</v>
      </c>
      <c r="D179" s="2" t="s">
        <v>33</v>
      </c>
      <c r="E179" s="2" t="s">
        <v>32</v>
      </c>
      <c r="F179" s="2">
        <v>98</v>
      </c>
      <c r="G179" s="2">
        <v>652778</v>
      </c>
    </row>
    <row r="180" spans="1:7" x14ac:dyDescent="0.3">
      <c r="A180" s="7">
        <v>45804</v>
      </c>
      <c r="B180" s="6" t="s">
        <v>30</v>
      </c>
      <c r="C180" s="2" t="s">
        <v>26</v>
      </c>
      <c r="D180" s="2" t="s">
        <v>9</v>
      </c>
      <c r="E180" s="2" t="s">
        <v>40</v>
      </c>
      <c r="F180" s="2">
        <v>159</v>
      </c>
      <c r="G180" s="2">
        <v>1231932</v>
      </c>
    </row>
    <row r="181" spans="1:7" x14ac:dyDescent="0.3">
      <c r="A181" s="7">
        <v>45788</v>
      </c>
      <c r="B181" s="6" t="s">
        <v>25</v>
      </c>
      <c r="C181" s="2" t="s">
        <v>16</v>
      </c>
      <c r="D181" s="2" t="s">
        <v>17</v>
      </c>
      <c r="E181" s="2" t="s">
        <v>22</v>
      </c>
      <c r="F181" s="2">
        <v>315</v>
      </c>
      <c r="G181" s="2">
        <v>1947330</v>
      </c>
    </row>
    <row r="182" spans="1:7" x14ac:dyDescent="0.3">
      <c r="A182" s="7">
        <v>45775</v>
      </c>
      <c r="B182" s="6" t="s">
        <v>28</v>
      </c>
      <c r="C182" s="2" t="s">
        <v>35</v>
      </c>
      <c r="D182" s="2" t="s">
        <v>9</v>
      </c>
      <c r="E182" s="2" t="s">
        <v>14</v>
      </c>
      <c r="F182" s="2">
        <v>245</v>
      </c>
      <c r="G182" s="2">
        <v>1732885</v>
      </c>
    </row>
    <row r="183" spans="1:7" x14ac:dyDescent="0.3">
      <c r="A183" s="7">
        <v>45973</v>
      </c>
      <c r="B183" s="6" t="s">
        <v>23</v>
      </c>
      <c r="C183" s="2" t="s">
        <v>16</v>
      </c>
      <c r="D183" s="2" t="s">
        <v>17</v>
      </c>
      <c r="E183" s="2" t="s">
        <v>34</v>
      </c>
      <c r="F183" s="2">
        <v>278</v>
      </c>
      <c r="G183" s="2">
        <v>1575426</v>
      </c>
    </row>
    <row r="184" spans="1:7" x14ac:dyDescent="0.3">
      <c r="A184" s="7">
        <v>45941</v>
      </c>
      <c r="B184" s="6" t="s">
        <v>19</v>
      </c>
      <c r="C184" s="2" t="s">
        <v>8</v>
      </c>
      <c r="D184" s="2" t="s">
        <v>21</v>
      </c>
      <c r="E184" s="2" t="s">
        <v>24</v>
      </c>
      <c r="F184" s="2">
        <v>187</v>
      </c>
      <c r="G184" s="2">
        <v>328185</v>
      </c>
    </row>
    <row r="185" spans="1:7" x14ac:dyDescent="0.3">
      <c r="A185" s="7">
        <v>45726</v>
      </c>
      <c r="B185" s="6" t="s">
        <v>30</v>
      </c>
      <c r="C185" s="2" t="s">
        <v>41</v>
      </c>
      <c r="D185" s="2" t="s">
        <v>29</v>
      </c>
      <c r="E185" s="2" t="s">
        <v>32</v>
      </c>
      <c r="F185" s="2">
        <v>390</v>
      </c>
      <c r="G185" s="2">
        <v>1946880</v>
      </c>
    </row>
    <row r="186" spans="1:7" x14ac:dyDescent="0.3">
      <c r="A186" s="7">
        <v>45919</v>
      </c>
      <c r="B186" s="6" t="s">
        <v>7</v>
      </c>
      <c r="C186" s="2" t="s">
        <v>12</v>
      </c>
      <c r="D186" s="2" t="s">
        <v>9</v>
      </c>
      <c r="E186" s="2" t="s">
        <v>27</v>
      </c>
      <c r="F186" s="2">
        <v>150</v>
      </c>
      <c r="G186" s="2">
        <v>523200</v>
      </c>
    </row>
    <row r="187" spans="1:7" x14ac:dyDescent="0.3">
      <c r="A187" s="7">
        <v>45887</v>
      </c>
      <c r="B187" s="6" t="s">
        <v>28</v>
      </c>
      <c r="C187" s="2" t="s">
        <v>20</v>
      </c>
      <c r="D187" s="2" t="s">
        <v>9</v>
      </c>
      <c r="E187" s="2" t="s">
        <v>40</v>
      </c>
      <c r="F187" s="2">
        <v>225</v>
      </c>
      <c r="G187" s="2">
        <v>912150</v>
      </c>
    </row>
    <row r="188" spans="1:7" x14ac:dyDescent="0.3">
      <c r="A188" s="7">
        <v>45893</v>
      </c>
      <c r="B188" s="6" t="s">
        <v>28</v>
      </c>
      <c r="C188" s="2" t="s">
        <v>8</v>
      </c>
      <c r="D188" s="2" t="s">
        <v>21</v>
      </c>
      <c r="E188" s="2" t="s">
        <v>27</v>
      </c>
      <c r="F188" s="2">
        <v>268</v>
      </c>
      <c r="G188" s="2">
        <v>2061992</v>
      </c>
    </row>
    <row r="189" spans="1:7" x14ac:dyDescent="0.3">
      <c r="A189" s="7">
        <v>45721</v>
      </c>
      <c r="B189" s="6" t="s">
        <v>38</v>
      </c>
      <c r="C189" s="2" t="s">
        <v>31</v>
      </c>
      <c r="D189" s="2" t="s">
        <v>9</v>
      </c>
      <c r="E189" s="2" t="s">
        <v>24</v>
      </c>
      <c r="F189" s="2">
        <v>414</v>
      </c>
      <c r="G189" s="2">
        <v>3025098</v>
      </c>
    </row>
    <row r="190" spans="1:7" x14ac:dyDescent="0.3">
      <c r="A190" s="7">
        <v>45943</v>
      </c>
      <c r="B190" s="6" t="s">
        <v>30</v>
      </c>
      <c r="C190" s="2" t="s">
        <v>20</v>
      </c>
      <c r="D190" s="2" t="s">
        <v>17</v>
      </c>
      <c r="E190" s="2" t="s">
        <v>27</v>
      </c>
      <c r="F190" s="2">
        <v>412</v>
      </c>
      <c r="G190" s="2">
        <v>2394132</v>
      </c>
    </row>
    <row r="191" spans="1:7" x14ac:dyDescent="0.3">
      <c r="A191" s="7">
        <v>45684</v>
      </c>
      <c r="B191" s="6" t="s">
        <v>7</v>
      </c>
      <c r="C191" s="2" t="s">
        <v>8</v>
      </c>
      <c r="D191" s="2" t="s">
        <v>29</v>
      </c>
      <c r="E191" s="2" t="s">
        <v>22</v>
      </c>
      <c r="F191" s="2">
        <v>181</v>
      </c>
      <c r="G191" s="2">
        <v>474039</v>
      </c>
    </row>
    <row r="192" spans="1:7" x14ac:dyDescent="0.3">
      <c r="A192" s="7">
        <v>45973</v>
      </c>
      <c r="B192" s="6" t="s">
        <v>38</v>
      </c>
      <c r="C192" s="2" t="s">
        <v>35</v>
      </c>
      <c r="D192" s="2" t="s">
        <v>9</v>
      </c>
      <c r="E192" s="2" t="s">
        <v>18</v>
      </c>
      <c r="F192" s="2">
        <v>258</v>
      </c>
      <c r="G192" s="2">
        <v>1965702</v>
      </c>
    </row>
    <row r="193" spans="1:7" x14ac:dyDescent="0.3">
      <c r="A193" s="7">
        <v>45992</v>
      </c>
      <c r="B193" s="6" t="s">
        <v>23</v>
      </c>
      <c r="C193" s="2" t="s">
        <v>12</v>
      </c>
      <c r="D193" s="2" t="s">
        <v>13</v>
      </c>
      <c r="E193" s="2" t="s">
        <v>40</v>
      </c>
      <c r="F193" s="2">
        <v>59</v>
      </c>
      <c r="G193" s="2">
        <v>96170</v>
      </c>
    </row>
    <row r="194" spans="1:7" x14ac:dyDescent="0.3">
      <c r="A194" s="7">
        <v>45769</v>
      </c>
      <c r="B194" s="6" t="s">
        <v>38</v>
      </c>
      <c r="C194" s="2" t="s">
        <v>31</v>
      </c>
      <c r="D194" s="2" t="s">
        <v>17</v>
      </c>
      <c r="E194" s="2" t="s">
        <v>32</v>
      </c>
      <c r="F194" s="2">
        <v>76</v>
      </c>
      <c r="G194" s="2">
        <v>357428</v>
      </c>
    </row>
    <row r="195" spans="1:7" x14ac:dyDescent="0.3">
      <c r="A195" s="7">
        <v>46000</v>
      </c>
      <c r="B195" s="6" t="s">
        <v>28</v>
      </c>
      <c r="C195" s="2" t="s">
        <v>41</v>
      </c>
      <c r="D195" s="2" t="s">
        <v>21</v>
      </c>
      <c r="E195" s="2" t="s">
        <v>40</v>
      </c>
      <c r="F195" s="2">
        <v>193</v>
      </c>
      <c r="G195" s="2">
        <v>1123067</v>
      </c>
    </row>
    <row r="196" spans="1:7" x14ac:dyDescent="0.3">
      <c r="A196" s="7">
        <v>45959</v>
      </c>
      <c r="B196" s="6" t="s">
        <v>30</v>
      </c>
      <c r="C196" s="2" t="s">
        <v>26</v>
      </c>
      <c r="D196" s="2" t="s">
        <v>13</v>
      </c>
      <c r="E196" s="2" t="s">
        <v>10</v>
      </c>
      <c r="F196" s="2">
        <v>220</v>
      </c>
      <c r="G196" s="2">
        <v>1069200</v>
      </c>
    </row>
    <row r="197" spans="1:7" x14ac:dyDescent="0.3">
      <c r="A197" s="7">
        <v>45727</v>
      </c>
      <c r="B197" s="6" t="s">
        <v>30</v>
      </c>
      <c r="C197" s="2" t="s">
        <v>8</v>
      </c>
      <c r="D197" s="2" t="s">
        <v>29</v>
      </c>
      <c r="E197" s="2" t="s">
        <v>14</v>
      </c>
      <c r="F197" s="2">
        <v>76</v>
      </c>
      <c r="G197" s="2">
        <v>478876</v>
      </c>
    </row>
    <row r="198" spans="1:7" x14ac:dyDescent="0.3">
      <c r="A198" s="7">
        <v>45761</v>
      </c>
      <c r="B198" s="6" t="s">
        <v>28</v>
      </c>
      <c r="C198" s="2" t="s">
        <v>26</v>
      </c>
      <c r="D198" s="2" t="s">
        <v>9</v>
      </c>
      <c r="E198" s="2" t="s">
        <v>14</v>
      </c>
      <c r="F198" s="2">
        <v>315</v>
      </c>
      <c r="G198" s="2">
        <v>2208780</v>
      </c>
    </row>
    <row r="199" spans="1:7" x14ac:dyDescent="0.3">
      <c r="A199" s="7">
        <v>45733</v>
      </c>
      <c r="B199" s="6" t="s">
        <v>38</v>
      </c>
      <c r="C199" s="2" t="s">
        <v>16</v>
      </c>
      <c r="D199" s="2" t="s">
        <v>36</v>
      </c>
      <c r="E199" s="2" t="s">
        <v>18</v>
      </c>
      <c r="F199" s="2">
        <v>418</v>
      </c>
      <c r="G199" s="2">
        <v>1868042</v>
      </c>
    </row>
    <row r="200" spans="1:7" x14ac:dyDescent="0.3">
      <c r="A200" s="7">
        <v>45949</v>
      </c>
      <c r="B200" s="6" t="s">
        <v>39</v>
      </c>
      <c r="C200" s="2" t="s">
        <v>35</v>
      </c>
      <c r="D200" s="2" t="s">
        <v>36</v>
      </c>
      <c r="E200" s="2" t="s">
        <v>10</v>
      </c>
      <c r="F200" s="2">
        <v>309</v>
      </c>
      <c r="G200" s="2">
        <v>2320590</v>
      </c>
    </row>
    <row r="201" spans="1:7" x14ac:dyDescent="0.3">
      <c r="A201" s="7">
        <v>45982</v>
      </c>
      <c r="B201" s="6" t="s">
        <v>23</v>
      </c>
      <c r="C201" s="2" t="s">
        <v>26</v>
      </c>
      <c r="D201" s="2" t="s">
        <v>33</v>
      </c>
      <c r="E201" s="2" t="s">
        <v>24</v>
      </c>
      <c r="F201" s="2">
        <v>206</v>
      </c>
      <c r="G201" s="2">
        <v>1521104</v>
      </c>
    </row>
    <row r="202" spans="1:7" x14ac:dyDescent="0.3">
      <c r="A202" s="7">
        <v>45919</v>
      </c>
      <c r="B202" s="6" t="s">
        <v>11</v>
      </c>
      <c r="C202" s="2" t="s">
        <v>16</v>
      </c>
      <c r="D202" s="2" t="s">
        <v>9</v>
      </c>
      <c r="E202" s="2" t="s">
        <v>22</v>
      </c>
      <c r="F202" s="2">
        <v>145</v>
      </c>
      <c r="G202" s="2">
        <v>628720</v>
      </c>
    </row>
    <row r="203" spans="1:7" x14ac:dyDescent="0.3">
      <c r="A203" s="7">
        <v>45665</v>
      </c>
      <c r="B203" s="6" t="s">
        <v>30</v>
      </c>
      <c r="C203" s="2" t="s">
        <v>20</v>
      </c>
      <c r="D203" s="2" t="s">
        <v>13</v>
      </c>
      <c r="E203" s="2" t="s">
        <v>34</v>
      </c>
      <c r="F203" s="2">
        <v>411</v>
      </c>
      <c r="G203" s="2">
        <v>1161075</v>
      </c>
    </row>
    <row r="204" spans="1:7" x14ac:dyDescent="0.3">
      <c r="A204" s="7">
        <v>45771</v>
      </c>
      <c r="B204" s="6" t="s">
        <v>30</v>
      </c>
      <c r="C204" s="2" t="s">
        <v>35</v>
      </c>
      <c r="D204" s="2" t="s">
        <v>13</v>
      </c>
      <c r="E204" s="2" t="s">
        <v>10</v>
      </c>
      <c r="F204" s="2">
        <v>432</v>
      </c>
      <c r="G204" s="2">
        <v>2845152</v>
      </c>
    </row>
    <row r="205" spans="1:7" x14ac:dyDescent="0.3">
      <c r="A205" s="7">
        <v>45692</v>
      </c>
      <c r="B205" s="6" t="s">
        <v>28</v>
      </c>
      <c r="C205" s="2" t="s">
        <v>20</v>
      </c>
      <c r="D205" s="2" t="s">
        <v>33</v>
      </c>
      <c r="E205" s="2" t="s">
        <v>22</v>
      </c>
      <c r="F205" s="2">
        <v>51</v>
      </c>
      <c r="G205" s="2">
        <v>77418</v>
      </c>
    </row>
    <row r="206" spans="1:7" x14ac:dyDescent="0.3">
      <c r="A206" s="7">
        <v>45981</v>
      </c>
      <c r="B206" s="6" t="s">
        <v>38</v>
      </c>
      <c r="C206" s="2" t="s">
        <v>41</v>
      </c>
      <c r="D206" s="2" t="s">
        <v>9</v>
      </c>
      <c r="E206" s="2" t="s">
        <v>14</v>
      </c>
      <c r="F206" s="2">
        <v>20</v>
      </c>
      <c r="G206" s="2">
        <v>48440</v>
      </c>
    </row>
    <row r="207" spans="1:7" x14ac:dyDescent="0.3">
      <c r="A207" s="7">
        <v>45974</v>
      </c>
      <c r="B207" s="6" t="s">
        <v>11</v>
      </c>
      <c r="C207" s="2" t="s">
        <v>31</v>
      </c>
      <c r="D207" s="2" t="s">
        <v>33</v>
      </c>
      <c r="E207" s="2" t="s">
        <v>27</v>
      </c>
      <c r="F207" s="2">
        <v>86</v>
      </c>
      <c r="G207" s="2">
        <v>408242</v>
      </c>
    </row>
    <row r="208" spans="1:7" x14ac:dyDescent="0.3">
      <c r="A208" s="7">
        <v>45985</v>
      </c>
      <c r="B208" s="6" t="s">
        <v>39</v>
      </c>
      <c r="C208" s="2" t="s">
        <v>31</v>
      </c>
      <c r="D208" s="2" t="s">
        <v>13</v>
      </c>
      <c r="E208" s="2" t="s">
        <v>24</v>
      </c>
      <c r="F208" s="2">
        <v>426</v>
      </c>
      <c r="G208" s="2">
        <v>1347864</v>
      </c>
    </row>
    <row r="209" spans="1:7" x14ac:dyDescent="0.3">
      <c r="A209" s="7">
        <v>45713</v>
      </c>
      <c r="B209" s="6" t="s">
        <v>23</v>
      </c>
      <c r="C209" s="2" t="s">
        <v>26</v>
      </c>
      <c r="D209" s="2" t="s">
        <v>29</v>
      </c>
      <c r="E209" s="2" t="s">
        <v>22</v>
      </c>
      <c r="F209" s="2">
        <v>353</v>
      </c>
      <c r="G209" s="2">
        <v>2104939</v>
      </c>
    </row>
    <row r="210" spans="1:7" x14ac:dyDescent="0.3">
      <c r="A210" s="7">
        <v>45988</v>
      </c>
      <c r="B210" s="6" t="s">
        <v>11</v>
      </c>
      <c r="C210" s="2" t="s">
        <v>20</v>
      </c>
      <c r="D210" s="2" t="s">
        <v>21</v>
      </c>
      <c r="E210" s="2" t="s">
        <v>34</v>
      </c>
      <c r="F210" s="2">
        <v>197</v>
      </c>
      <c r="G210" s="2">
        <v>1087243</v>
      </c>
    </row>
    <row r="211" spans="1:7" x14ac:dyDescent="0.3">
      <c r="A211" s="7">
        <v>45878</v>
      </c>
      <c r="B211" s="6" t="s">
        <v>25</v>
      </c>
      <c r="C211" s="2" t="s">
        <v>26</v>
      </c>
      <c r="D211" s="2" t="s">
        <v>29</v>
      </c>
      <c r="E211" s="2" t="s">
        <v>24</v>
      </c>
      <c r="F211" s="2">
        <v>66</v>
      </c>
      <c r="G211" s="2">
        <v>295020</v>
      </c>
    </row>
    <row r="212" spans="1:7" x14ac:dyDescent="0.3">
      <c r="A212" s="7">
        <v>45793</v>
      </c>
      <c r="B212" s="6" t="s">
        <v>15</v>
      </c>
      <c r="C212" s="2" t="s">
        <v>12</v>
      </c>
      <c r="D212" s="2" t="s">
        <v>36</v>
      </c>
      <c r="E212" s="2" t="s">
        <v>24</v>
      </c>
      <c r="F212" s="2">
        <v>282</v>
      </c>
      <c r="G212" s="2">
        <v>930600</v>
      </c>
    </row>
    <row r="213" spans="1:7" x14ac:dyDescent="0.3">
      <c r="A213" s="7">
        <v>46021</v>
      </c>
      <c r="B213" s="6" t="s">
        <v>39</v>
      </c>
      <c r="C213" s="2" t="s">
        <v>12</v>
      </c>
      <c r="D213" s="2" t="s">
        <v>36</v>
      </c>
      <c r="E213" s="2" t="s">
        <v>24</v>
      </c>
      <c r="F213" s="2">
        <v>49</v>
      </c>
      <c r="G213" s="2">
        <v>386904</v>
      </c>
    </row>
    <row r="214" spans="1:7" x14ac:dyDescent="0.3">
      <c r="A214" s="7">
        <v>45699</v>
      </c>
      <c r="B214" s="6" t="s">
        <v>28</v>
      </c>
      <c r="C214" s="2" t="s">
        <v>26</v>
      </c>
      <c r="D214" s="2" t="s">
        <v>33</v>
      </c>
      <c r="E214" s="2" t="s">
        <v>22</v>
      </c>
      <c r="F214" s="2">
        <v>358</v>
      </c>
      <c r="G214" s="2">
        <v>872804</v>
      </c>
    </row>
    <row r="215" spans="1:7" x14ac:dyDescent="0.3">
      <c r="A215" s="7">
        <v>46006</v>
      </c>
      <c r="B215" s="6" t="s">
        <v>38</v>
      </c>
      <c r="C215" s="2" t="s">
        <v>41</v>
      </c>
      <c r="D215" s="2" t="s">
        <v>36</v>
      </c>
      <c r="E215" s="2" t="s">
        <v>18</v>
      </c>
      <c r="F215" s="2">
        <v>493</v>
      </c>
      <c r="G215" s="2">
        <v>3890756</v>
      </c>
    </row>
    <row r="216" spans="1:7" x14ac:dyDescent="0.3">
      <c r="A216" s="7">
        <v>45753</v>
      </c>
      <c r="B216" s="6" t="s">
        <v>30</v>
      </c>
      <c r="C216" s="2" t="s">
        <v>16</v>
      </c>
      <c r="D216" s="2" t="s">
        <v>13</v>
      </c>
      <c r="E216" s="2" t="s">
        <v>40</v>
      </c>
      <c r="F216" s="2">
        <v>160</v>
      </c>
      <c r="G216" s="2">
        <v>1056640</v>
      </c>
    </row>
    <row r="217" spans="1:7" x14ac:dyDescent="0.3">
      <c r="A217" s="7">
        <v>46002</v>
      </c>
      <c r="B217" s="6" t="s">
        <v>30</v>
      </c>
      <c r="C217" s="2" t="s">
        <v>20</v>
      </c>
      <c r="D217" s="2" t="s">
        <v>17</v>
      </c>
      <c r="E217" s="2" t="s">
        <v>27</v>
      </c>
      <c r="F217" s="2">
        <v>218</v>
      </c>
      <c r="G217" s="2">
        <v>1733754</v>
      </c>
    </row>
    <row r="218" spans="1:7" x14ac:dyDescent="0.3">
      <c r="A218" s="7">
        <v>45785</v>
      </c>
      <c r="B218" s="6" t="s">
        <v>28</v>
      </c>
      <c r="C218" s="2" t="s">
        <v>16</v>
      </c>
      <c r="D218" s="2" t="s">
        <v>21</v>
      </c>
      <c r="E218" s="2" t="s">
        <v>14</v>
      </c>
      <c r="F218" s="2">
        <v>469</v>
      </c>
      <c r="G218" s="2">
        <v>3603327</v>
      </c>
    </row>
    <row r="219" spans="1:7" x14ac:dyDescent="0.3">
      <c r="A219" s="7">
        <v>45918</v>
      </c>
      <c r="B219" s="6" t="s">
        <v>38</v>
      </c>
      <c r="C219" s="2" t="s">
        <v>26</v>
      </c>
      <c r="D219" s="2" t="s">
        <v>9</v>
      </c>
      <c r="E219" s="2" t="s">
        <v>22</v>
      </c>
      <c r="F219" s="2">
        <v>261</v>
      </c>
      <c r="G219" s="2">
        <v>1047915</v>
      </c>
    </row>
    <row r="220" spans="1:7" x14ac:dyDescent="0.3">
      <c r="A220" s="7">
        <v>45896</v>
      </c>
      <c r="B220" s="6" t="s">
        <v>28</v>
      </c>
      <c r="C220" s="2" t="s">
        <v>26</v>
      </c>
      <c r="D220" s="2" t="s">
        <v>36</v>
      </c>
      <c r="E220" s="2" t="s">
        <v>18</v>
      </c>
      <c r="F220" s="2">
        <v>238</v>
      </c>
      <c r="G220" s="2">
        <v>887502</v>
      </c>
    </row>
    <row r="221" spans="1:7" x14ac:dyDescent="0.3">
      <c r="A221" s="7">
        <v>45867</v>
      </c>
      <c r="B221" s="6" t="s">
        <v>23</v>
      </c>
      <c r="C221" s="2" t="s">
        <v>35</v>
      </c>
      <c r="D221" s="2" t="s">
        <v>9</v>
      </c>
      <c r="E221" s="2" t="s">
        <v>10</v>
      </c>
      <c r="F221" s="2">
        <v>353</v>
      </c>
      <c r="G221" s="2">
        <v>1396468</v>
      </c>
    </row>
    <row r="222" spans="1:7" x14ac:dyDescent="0.3">
      <c r="A222" s="7">
        <v>45944</v>
      </c>
      <c r="B222" s="6" t="s">
        <v>23</v>
      </c>
      <c r="C222" s="2" t="s">
        <v>8</v>
      </c>
      <c r="D222" s="2" t="s">
        <v>17</v>
      </c>
      <c r="E222" s="2" t="s">
        <v>10</v>
      </c>
      <c r="F222" s="2">
        <v>293</v>
      </c>
      <c r="G222" s="2">
        <v>633173</v>
      </c>
    </row>
    <row r="223" spans="1:7" x14ac:dyDescent="0.3">
      <c r="A223" s="7">
        <v>45857</v>
      </c>
      <c r="B223" s="6" t="s">
        <v>38</v>
      </c>
      <c r="C223" s="2" t="s">
        <v>20</v>
      </c>
      <c r="D223" s="2" t="s">
        <v>33</v>
      </c>
      <c r="E223" s="2" t="s">
        <v>24</v>
      </c>
      <c r="F223" s="2">
        <v>480</v>
      </c>
      <c r="G223" s="2">
        <v>2831040</v>
      </c>
    </row>
    <row r="224" spans="1:7" x14ac:dyDescent="0.3">
      <c r="A224" s="7">
        <v>45905</v>
      </c>
      <c r="B224" s="6" t="s">
        <v>28</v>
      </c>
      <c r="C224" s="2" t="s">
        <v>12</v>
      </c>
      <c r="D224" s="2" t="s">
        <v>29</v>
      </c>
      <c r="E224" s="2" t="s">
        <v>37</v>
      </c>
      <c r="F224" s="2">
        <v>172</v>
      </c>
      <c r="G224" s="2">
        <v>174236</v>
      </c>
    </row>
    <row r="225" spans="1:7" x14ac:dyDescent="0.3">
      <c r="A225" s="7">
        <v>45918</v>
      </c>
      <c r="B225" s="6" t="s">
        <v>30</v>
      </c>
      <c r="C225" s="2" t="s">
        <v>12</v>
      </c>
      <c r="D225" s="2" t="s">
        <v>13</v>
      </c>
      <c r="E225" s="2" t="s">
        <v>22</v>
      </c>
      <c r="F225" s="2">
        <v>157</v>
      </c>
      <c r="G225" s="2">
        <v>313529</v>
      </c>
    </row>
    <row r="226" spans="1:7" x14ac:dyDescent="0.3">
      <c r="A226" s="7">
        <v>45881</v>
      </c>
      <c r="B226" s="6" t="s">
        <v>39</v>
      </c>
      <c r="C226" s="2" t="s">
        <v>12</v>
      </c>
      <c r="D226" s="2" t="s">
        <v>9</v>
      </c>
      <c r="E226" s="2" t="s">
        <v>22</v>
      </c>
      <c r="F226" s="2">
        <v>290</v>
      </c>
      <c r="G226" s="2">
        <v>1056180</v>
      </c>
    </row>
    <row r="227" spans="1:7" x14ac:dyDescent="0.3">
      <c r="A227" s="7">
        <v>45828</v>
      </c>
      <c r="B227" s="6" t="s">
        <v>28</v>
      </c>
      <c r="C227" s="2" t="s">
        <v>41</v>
      </c>
      <c r="D227" s="2" t="s">
        <v>29</v>
      </c>
      <c r="E227" s="2" t="s">
        <v>34</v>
      </c>
      <c r="F227" s="2">
        <v>348</v>
      </c>
      <c r="G227" s="2">
        <v>1757748</v>
      </c>
    </row>
    <row r="228" spans="1:7" x14ac:dyDescent="0.3">
      <c r="A228" s="7">
        <v>45696</v>
      </c>
      <c r="B228" s="6" t="s">
        <v>15</v>
      </c>
      <c r="C228" s="2" t="s">
        <v>16</v>
      </c>
      <c r="D228" s="2" t="s">
        <v>9</v>
      </c>
      <c r="E228" s="2" t="s">
        <v>37</v>
      </c>
      <c r="F228" s="2">
        <v>472</v>
      </c>
      <c r="G228" s="2">
        <v>2489328</v>
      </c>
    </row>
    <row r="229" spans="1:7" x14ac:dyDescent="0.3">
      <c r="A229" s="7">
        <v>45766</v>
      </c>
      <c r="B229" s="6" t="s">
        <v>19</v>
      </c>
      <c r="C229" s="2" t="s">
        <v>20</v>
      </c>
      <c r="D229" s="2" t="s">
        <v>9</v>
      </c>
      <c r="E229" s="2" t="s">
        <v>24</v>
      </c>
      <c r="F229" s="2">
        <v>207</v>
      </c>
      <c r="G229" s="2">
        <v>1158993</v>
      </c>
    </row>
    <row r="230" spans="1:7" x14ac:dyDescent="0.3">
      <c r="A230" s="7">
        <v>45716</v>
      </c>
      <c r="B230" s="6" t="s">
        <v>7</v>
      </c>
      <c r="C230" s="2" t="s">
        <v>12</v>
      </c>
      <c r="D230" s="2" t="s">
        <v>21</v>
      </c>
      <c r="E230" s="2" t="s">
        <v>34</v>
      </c>
      <c r="F230" s="2">
        <v>309</v>
      </c>
      <c r="G230" s="2">
        <v>1004250</v>
      </c>
    </row>
    <row r="231" spans="1:7" x14ac:dyDescent="0.3">
      <c r="A231" s="7">
        <v>45910</v>
      </c>
      <c r="B231" s="6" t="s">
        <v>28</v>
      </c>
      <c r="C231" s="2" t="s">
        <v>26</v>
      </c>
      <c r="D231" s="2" t="s">
        <v>29</v>
      </c>
      <c r="E231" s="2" t="s">
        <v>18</v>
      </c>
      <c r="F231" s="2">
        <v>99</v>
      </c>
      <c r="G231" s="2">
        <v>172458</v>
      </c>
    </row>
    <row r="232" spans="1:7" x14ac:dyDescent="0.3">
      <c r="A232" s="7">
        <v>45880</v>
      </c>
      <c r="B232" s="6" t="s">
        <v>23</v>
      </c>
      <c r="C232" s="2" t="s">
        <v>20</v>
      </c>
      <c r="D232" s="2" t="s">
        <v>17</v>
      </c>
      <c r="E232" s="2" t="s">
        <v>27</v>
      </c>
      <c r="F232" s="2">
        <v>206</v>
      </c>
      <c r="G232" s="2">
        <v>1533670</v>
      </c>
    </row>
    <row r="233" spans="1:7" x14ac:dyDescent="0.3">
      <c r="A233" s="7">
        <v>45858</v>
      </c>
      <c r="B233" s="6" t="s">
        <v>19</v>
      </c>
      <c r="C233" s="2" t="s">
        <v>31</v>
      </c>
      <c r="D233" s="2" t="s">
        <v>9</v>
      </c>
      <c r="E233" s="2" t="s">
        <v>32</v>
      </c>
      <c r="F233" s="2">
        <v>406</v>
      </c>
      <c r="G233" s="2">
        <v>619962</v>
      </c>
    </row>
    <row r="234" spans="1:7" x14ac:dyDescent="0.3">
      <c r="A234" s="7">
        <v>45861</v>
      </c>
      <c r="B234" s="6" t="s">
        <v>7</v>
      </c>
      <c r="C234" s="2" t="s">
        <v>16</v>
      </c>
      <c r="D234" s="2" t="s">
        <v>13</v>
      </c>
      <c r="E234" s="2" t="s">
        <v>10</v>
      </c>
      <c r="F234" s="2">
        <v>388</v>
      </c>
      <c r="G234" s="2">
        <v>1321528</v>
      </c>
    </row>
    <row r="235" spans="1:7" x14ac:dyDescent="0.3">
      <c r="A235" s="7">
        <v>45879</v>
      </c>
      <c r="B235" s="6" t="s">
        <v>19</v>
      </c>
      <c r="C235" s="2" t="s">
        <v>8</v>
      </c>
      <c r="D235" s="2" t="s">
        <v>21</v>
      </c>
      <c r="E235" s="2" t="s">
        <v>32</v>
      </c>
      <c r="F235" s="2">
        <v>110</v>
      </c>
      <c r="G235" s="2">
        <v>124410</v>
      </c>
    </row>
    <row r="236" spans="1:7" x14ac:dyDescent="0.3">
      <c r="A236" s="7">
        <v>46008</v>
      </c>
      <c r="B236" s="6" t="s">
        <v>25</v>
      </c>
      <c r="C236" s="2" t="s">
        <v>8</v>
      </c>
      <c r="D236" s="2" t="s">
        <v>17</v>
      </c>
      <c r="E236" s="2" t="s">
        <v>32</v>
      </c>
      <c r="F236" s="2">
        <v>243</v>
      </c>
      <c r="G236" s="2">
        <v>677484</v>
      </c>
    </row>
    <row r="237" spans="1:7" x14ac:dyDescent="0.3">
      <c r="A237" s="7">
        <v>45895</v>
      </c>
      <c r="B237" s="6" t="s">
        <v>19</v>
      </c>
      <c r="C237" s="2" t="s">
        <v>26</v>
      </c>
      <c r="D237" s="2" t="s">
        <v>33</v>
      </c>
      <c r="E237" s="2" t="s">
        <v>37</v>
      </c>
      <c r="F237" s="2">
        <v>199</v>
      </c>
      <c r="G237" s="2">
        <v>760180</v>
      </c>
    </row>
    <row r="238" spans="1:7" x14ac:dyDescent="0.3">
      <c r="A238" s="7">
        <v>45672</v>
      </c>
      <c r="B238" s="6" t="s">
        <v>7</v>
      </c>
      <c r="C238" s="2" t="s">
        <v>16</v>
      </c>
      <c r="D238" s="2" t="s">
        <v>33</v>
      </c>
      <c r="E238" s="2" t="s">
        <v>32</v>
      </c>
      <c r="F238" s="2">
        <v>268</v>
      </c>
      <c r="G238" s="2">
        <v>776396</v>
      </c>
    </row>
    <row r="239" spans="1:7" x14ac:dyDescent="0.3">
      <c r="A239" s="7">
        <v>45857</v>
      </c>
      <c r="B239" s="6" t="s">
        <v>19</v>
      </c>
      <c r="C239" s="2" t="s">
        <v>31</v>
      </c>
      <c r="D239" s="2" t="s">
        <v>29</v>
      </c>
      <c r="E239" s="2" t="s">
        <v>37</v>
      </c>
      <c r="F239" s="2">
        <v>350</v>
      </c>
      <c r="G239" s="2">
        <v>891450</v>
      </c>
    </row>
    <row r="240" spans="1:7" x14ac:dyDescent="0.3">
      <c r="A240" s="7">
        <v>45990</v>
      </c>
      <c r="B240" s="6" t="s">
        <v>39</v>
      </c>
      <c r="C240" s="2" t="s">
        <v>20</v>
      </c>
      <c r="D240" s="2" t="s">
        <v>36</v>
      </c>
      <c r="E240" s="2" t="s">
        <v>37</v>
      </c>
      <c r="F240" s="2">
        <v>158</v>
      </c>
      <c r="G240" s="2">
        <v>544942</v>
      </c>
    </row>
    <row r="241" spans="1:7" x14ac:dyDescent="0.3">
      <c r="A241" s="7">
        <v>45722</v>
      </c>
      <c r="B241" s="6" t="s">
        <v>19</v>
      </c>
      <c r="C241" s="2" t="s">
        <v>12</v>
      </c>
      <c r="D241" s="2" t="s">
        <v>33</v>
      </c>
      <c r="E241" s="2" t="s">
        <v>27</v>
      </c>
      <c r="F241" s="2">
        <v>164</v>
      </c>
      <c r="G241" s="2">
        <v>881500</v>
      </c>
    </row>
    <row r="242" spans="1:7" x14ac:dyDescent="0.3">
      <c r="A242" s="7">
        <v>45938</v>
      </c>
      <c r="B242" s="6" t="s">
        <v>38</v>
      </c>
      <c r="C242" s="2" t="s">
        <v>12</v>
      </c>
      <c r="D242" s="2" t="s">
        <v>36</v>
      </c>
      <c r="E242" s="2" t="s">
        <v>14</v>
      </c>
      <c r="F242" s="2">
        <v>437</v>
      </c>
      <c r="G242" s="2">
        <v>2046908</v>
      </c>
    </row>
    <row r="243" spans="1:7" x14ac:dyDescent="0.3">
      <c r="A243" s="7">
        <v>45948</v>
      </c>
      <c r="B243" s="6" t="s">
        <v>15</v>
      </c>
      <c r="C243" s="2" t="s">
        <v>8</v>
      </c>
      <c r="D243" s="2" t="s">
        <v>9</v>
      </c>
      <c r="E243" s="2" t="s">
        <v>10</v>
      </c>
      <c r="F243" s="2">
        <v>363</v>
      </c>
      <c r="G243" s="2">
        <v>408012</v>
      </c>
    </row>
    <row r="244" spans="1:7" x14ac:dyDescent="0.3">
      <c r="A244" s="7">
        <v>46015</v>
      </c>
      <c r="B244" s="6" t="s">
        <v>23</v>
      </c>
      <c r="C244" s="2" t="s">
        <v>12</v>
      </c>
      <c r="D244" s="2" t="s">
        <v>13</v>
      </c>
      <c r="E244" s="2" t="s">
        <v>34</v>
      </c>
      <c r="F244" s="2">
        <v>456</v>
      </c>
      <c r="G244" s="2">
        <v>920664</v>
      </c>
    </row>
    <row r="245" spans="1:7" x14ac:dyDescent="0.3">
      <c r="A245" s="7">
        <v>46007</v>
      </c>
      <c r="B245" s="6" t="s">
        <v>30</v>
      </c>
      <c r="C245" s="2" t="s">
        <v>26</v>
      </c>
      <c r="D245" s="2" t="s">
        <v>9</v>
      </c>
      <c r="E245" s="2" t="s">
        <v>24</v>
      </c>
      <c r="F245" s="2">
        <v>440</v>
      </c>
      <c r="G245" s="2">
        <v>2344760</v>
      </c>
    </row>
    <row r="246" spans="1:7" x14ac:dyDescent="0.3">
      <c r="A246" s="7">
        <v>45833</v>
      </c>
      <c r="B246" s="6" t="s">
        <v>23</v>
      </c>
      <c r="C246" s="2" t="s">
        <v>20</v>
      </c>
      <c r="D246" s="2" t="s">
        <v>33</v>
      </c>
      <c r="E246" s="2" t="s">
        <v>14</v>
      </c>
      <c r="F246" s="2">
        <v>254</v>
      </c>
      <c r="G246" s="2">
        <v>1706118</v>
      </c>
    </row>
    <row r="247" spans="1:7" x14ac:dyDescent="0.3">
      <c r="A247" s="7">
        <v>45741</v>
      </c>
      <c r="B247" s="6" t="s">
        <v>11</v>
      </c>
      <c r="C247" s="2" t="s">
        <v>12</v>
      </c>
      <c r="D247" s="2" t="s">
        <v>21</v>
      </c>
      <c r="E247" s="2" t="s">
        <v>40</v>
      </c>
      <c r="F247" s="2">
        <v>116</v>
      </c>
      <c r="G247" s="2">
        <v>659112</v>
      </c>
    </row>
    <row r="248" spans="1:7" x14ac:dyDescent="0.3">
      <c r="A248" s="7">
        <v>45892</v>
      </c>
      <c r="B248" s="6" t="s">
        <v>19</v>
      </c>
      <c r="C248" s="2" t="s">
        <v>31</v>
      </c>
      <c r="D248" s="2" t="s">
        <v>33</v>
      </c>
      <c r="E248" s="2" t="s">
        <v>22</v>
      </c>
      <c r="F248" s="2">
        <v>304</v>
      </c>
      <c r="G248" s="2">
        <v>1115680</v>
      </c>
    </row>
    <row r="249" spans="1:7" x14ac:dyDescent="0.3">
      <c r="A249" s="7">
        <v>45747</v>
      </c>
      <c r="B249" s="6" t="s">
        <v>25</v>
      </c>
      <c r="C249" s="2" t="s">
        <v>16</v>
      </c>
      <c r="D249" s="2" t="s">
        <v>17</v>
      </c>
      <c r="E249" s="2" t="s">
        <v>22</v>
      </c>
      <c r="F249" s="2">
        <v>12</v>
      </c>
      <c r="G249" s="2">
        <v>35832</v>
      </c>
    </row>
    <row r="250" spans="1:7" x14ac:dyDescent="0.3">
      <c r="A250" s="7">
        <v>45770</v>
      </c>
      <c r="B250" s="6" t="s">
        <v>28</v>
      </c>
      <c r="C250" s="2" t="s">
        <v>31</v>
      </c>
      <c r="D250" s="2" t="s">
        <v>33</v>
      </c>
      <c r="E250" s="2" t="s">
        <v>18</v>
      </c>
      <c r="F250" s="2">
        <v>234</v>
      </c>
      <c r="G250" s="2">
        <v>1470222</v>
      </c>
    </row>
    <row r="251" spans="1:7" x14ac:dyDescent="0.3">
      <c r="A251" s="7">
        <v>45689</v>
      </c>
      <c r="B251" s="6" t="s">
        <v>39</v>
      </c>
      <c r="C251" s="2" t="s">
        <v>26</v>
      </c>
      <c r="D251" s="2" t="s">
        <v>33</v>
      </c>
      <c r="E251" s="2" t="s">
        <v>10</v>
      </c>
      <c r="F251" s="2">
        <v>427</v>
      </c>
      <c r="G251" s="2">
        <v>2360029</v>
      </c>
    </row>
    <row r="252" spans="1:7" x14ac:dyDescent="0.3">
      <c r="A252" s="7">
        <v>45696</v>
      </c>
      <c r="B252" s="6" t="s">
        <v>38</v>
      </c>
      <c r="C252" s="2" t="s">
        <v>12</v>
      </c>
      <c r="D252" s="2" t="s">
        <v>17</v>
      </c>
      <c r="E252" s="2" t="s">
        <v>14</v>
      </c>
      <c r="F252" s="2">
        <v>461</v>
      </c>
      <c r="G252" s="2">
        <v>2052833</v>
      </c>
    </row>
    <row r="253" spans="1:7" x14ac:dyDescent="0.3">
      <c r="A253" s="7">
        <v>45705</v>
      </c>
      <c r="B253" s="6" t="s">
        <v>28</v>
      </c>
      <c r="C253" s="2" t="s">
        <v>8</v>
      </c>
      <c r="D253" s="2" t="s">
        <v>13</v>
      </c>
      <c r="E253" s="2" t="s">
        <v>34</v>
      </c>
      <c r="F253" s="2">
        <v>310</v>
      </c>
      <c r="G253" s="2">
        <v>2146440</v>
      </c>
    </row>
    <row r="254" spans="1:7" x14ac:dyDescent="0.3">
      <c r="A254" s="7">
        <v>45749</v>
      </c>
      <c r="B254" s="6" t="s">
        <v>23</v>
      </c>
      <c r="C254" s="2" t="s">
        <v>20</v>
      </c>
      <c r="D254" s="2" t="s">
        <v>33</v>
      </c>
      <c r="E254" s="2" t="s">
        <v>14</v>
      </c>
      <c r="F254" s="2">
        <v>18</v>
      </c>
      <c r="G254" s="2">
        <v>63504</v>
      </c>
    </row>
    <row r="255" spans="1:7" x14ac:dyDescent="0.3">
      <c r="A255" s="7">
        <v>45812</v>
      </c>
      <c r="B255" s="6" t="s">
        <v>11</v>
      </c>
      <c r="C255" s="2" t="s">
        <v>41</v>
      </c>
      <c r="D255" s="2" t="s">
        <v>13</v>
      </c>
      <c r="E255" s="2" t="s">
        <v>32</v>
      </c>
      <c r="F255" s="2">
        <v>374</v>
      </c>
      <c r="G255" s="2">
        <v>1304512</v>
      </c>
    </row>
    <row r="256" spans="1:7" x14ac:dyDescent="0.3">
      <c r="A256" s="7">
        <v>45824</v>
      </c>
      <c r="B256" s="6" t="s">
        <v>38</v>
      </c>
      <c r="C256" s="2" t="s">
        <v>35</v>
      </c>
      <c r="D256" s="2" t="s">
        <v>13</v>
      </c>
      <c r="E256" s="2" t="s">
        <v>24</v>
      </c>
      <c r="F256" s="2">
        <v>204</v>
      </c>
      <c r="G256" s="2">
        <v>1032444</v>
      </c>
    </row>
    <row r="257" spans="1:7" x14ac:dyDescent="0.3">
      <c r="A257" s="7">
        <v>45863</v>
      </c>
      <c r="B257" s="6" t="s">
        <v>11</v>
      </c>
      <c r="C257" s="2" t="s">
        <v>31</v>
      </c>
      <c r="D257" s="2" t="s">
        <v>33</v>
      </c>
      <c r="E257" s="2" t="s">
        <v>34</v>
      </c>
      <c r="F257" s="2">
        <v>64</v>
      </c>
      <c r="G257" s="2">
        <v>205120</v>
      </c>
    </row>
    <row r="258" spans="1:7" x14ac:dyDescent="0.3">
      <c r="A258" s="7">
        <v>45794</v>
      </c>
      <c r="B258" s="6" t="s">
        <v>38</v>
      </c>
      <c r="C258" s="2" t="s">
        <v>35</v>
      </c>
      <c r="D258" s="2" t="s">
        <v>13</v>
      </c>
      <c r="E258" s="2" t="s">
        <v>14</v>
      </c>
      <c r="F258" s="2">
        <v>231</v>
      </c>
      <c r="G258" s="2">
        <v>1800645</v>
      </c>
    </row>
    <row r="259" spans="1:7" x14ac:dyDescent="0.3">
      <c r="A259" s="7">
        <v>45726</v>
      </c>
      <c r="B259" s="6" t="s">
        <v>28</v>
      </c>
      <c r="C259" s="2" t="s">
        <v>16</v>
      </c>
      <c r="D259" s="2" t="s">
        <v>36</v>
      </c>
      <c r="E259" s="2" t="s">
        <v>10</v>
      </c>
      <c r="F259" s="2">
        <v>215</v>
      </c>
      <c r="G259" s="2">
        <v>789265</v>
      </c>
    </row>
    <row r="260" spans="1:7" x14ac:dyDescent="0.3">
      <c r="A260" s="7">
        <v>45823</v>
      </c>
      <c r="B260" s="6" t="s">
        <v>11</v>
      </c>
      <c r="C260" s="2" t="s">
        <v>8</v>
      </c>
      <c r="D260" s="2" t="s">
        <v>17</v>
      </c>
      <c r="E260" s="2" t="s">
        <v>22</v>
      </c>
      <c r="F260" s="2">
        <v>39</v>
      </c>
      <c r="G260" s="2">
        <v>177333</v>
      </c>
    </row>
    <row r="261" spans="1:7" x14ac:dyDescent="0.3">
      <c r="A261" s="7">
        <v>45896</v>
      </c>
      <c r="B261" s="6" t="s">
        <v>19</v>
      </c>
      <c r="C261" s="2" t="s">
        <v>8</v>
      </c>
      <c r="D261" s="2" t="s">
        <v>29</v>
      </c>
      <c r="E261" s="2" t="s">
        <v>14</v>
      </c>
      <c r="F261" s="2">
        <v>258</v>
      </c>
      <c r="G261" s="2">
        <v>1699188</v>
      </c>
    </row>
    <row r="262" spans="1:7" x14ac:dyDescent="0.3">
      <c r="A262" s="7">
        <v>45884</v>
      </c>
      <c r="B262" s="6" t="s">
        <v>25</v>
      </c>
      <c r="C262" s="2" t="s">
        <v>35</v>
      </c>
      <c r="D262" s="2" t="s">
        <v>33</v>
      </c>
      <c r="E262" s="2" t="s">
        <v>34</v>
      </c>
      <c r="F262" s="2">
        <v>324</v>
      </c>
      <c r="G262" s="2">
        <v>1993572</v>
      </c>
    </row>
    <row r="263" spans="1:7" x14ac:dyDescent="0.3">
      <c r="A263" s="7">
        <v>45877</v>
      </c>
      <c r="B263" s="6" t="s">
        <v>7</v>
      </c>
      <c r="C263" s="2" t="s">
        <v>20</v>
      </c>
      <c r="D263" s="2" t="s">
        <v>9</v>
      </c>
      <c r="E263" s="2" t="s">
        <v>10</v>
      </c>
      <c r="F263" s="2">
        <v>305</v>
      </c>
      <c r="G263" s="2">
        <v>1578680</v>
      </c>
    </row>
    <row r="264" spans="1:7" x14ac:dyDescent="0.3">
      <c r="A264" s="7">
        <v>45994</v>
      </c>
      <c r="B264" s="6" t="s">
        <v>11</v>
      </c>
      <c r="C264" s="2" t="s">
        <v>20</v>
      </c>
      <c r="D264" s="2" t="s">
        <v>9</v>
      </c>
      <c r="E264" s="2" t="s">
        <v>24</v>
      </c>
      <c r="F264" s="2">
        <v>432</v>
      </c>
      <c r="G264" s="2">
        <v>1865808</v>
      </c>
    </row>
    <row r="265" spans="1:7" x14ac:dyDescent="0.3">
      <c r="A265" s="7">
        <v>45686</v>
      </c>
      <c r="B265" s="6" t="s">
        <v>30</v>
      </c>
      <c r="C265" s="2" t="s">
        <v>8</v>
      </c>
      <c r="D265" s="2" t="s">
        <v>33</v>
      </c>
      <c r="E265" s="2" t="s">
        <v>18</v>
      </c>
      <c r="F265" s="2">
        <v>15</v>
      </c>
      <c r="G265" s="2">
        <v>77865</v>
      </c>
    </row>
    <row r="266" spans="1:7" x14ac:dyDescent="0.3">
      <c r="A266" s="7">
        <v>45891</v>
      </c>
      <c r="B266" s="6" t="s">
        <v>7</v>
      </c>
      <c r="C266" s="2" t="s">
        <v>41</v>
      </c>
      <c r="D266" s="2" t="s">
        <v>33</v>
      </c>
      <c r="E266" s="2" t="s">
        <v>24</v>
      </c>
      <c r="F266" s="2">
        <v>240</v>
      </c>
      <c r="G266" s="2">
        <v>395760</v>
      </c>
    </row>
    <row r="267" spans="1:7" x14ac:dyDescent="0.3">
      <c r="A267" s="7">
        <v>45828</v>
      </c>
      <c r="B267" s="6" t="s">
        <v>38</v>
      </c>
      <c r="C267" s="2" t="s">
        <v>31</v>
      </c>
      <c r="D267" s="2" t="s">
        <v>13</v>
      </c>
      <c r="E267" s="2" t="s">
        <v>34</v>
      </c>
      <c r="F267" s="2">
        <v>140</v>
      </c>
      <c r="G267" s="2">
        <v>569380</v>
      </c>
    </row>
    <row r="268" spans="1:7" x14ac:dyDescent="0.3">
      <c r="A268" s="7">
        <v>45673</v>
      </c>
      <c r="B268" s="6" t="s">
        <v>7</v>
      </c>
      <c r="C268" s="2" t="s">
        <v>41</v>
      </c>
      <c r="D268" s="2" t="s">
        <v>29</v>
      </c>
      <c r="E268" s="2" t="s">
        <v>24</v>
      </c>
      <c r="F268" s="2">
        <v>179</v>
      </c>
      <c r="G268" s="2">
        <v>525723</v>
      </c>
    </row>
    <row r="269" spans="1:7" x14ac:dyDescent="0.3">
      <c r="A269" s="7">
        <v>46022</v>
      </c>
      <c r="B269" s="6" t="s">
        <v>19</v>
      </c>
      <c r="C269" s="2" t="s">
        <v>31</v>
      </c>
      <c r="D269" s="2" t="s">
        <v>9</v>
      </c>
      <c r="E269" s="2" t="s">
        <v>40</v>
      </c>
      <c r="F269" s="2">
        <v>23</v>
      </c>
      <c r="G269" s="2">
        <v>165554</v>
      </c>
    </row>
    <row r="270" spans="1:7" x14ac:dyDescent="0.3">
      <c r="A270" s="7">
        <v>45946</v>
      </c>
      <c r="B270" s="6" t="s">
        <v>23</v>
      </c>
      <c r="C270" s="2" t="s">
        <v>16</v>
      </c>
      <c r="D270" s="2" t="s">
        <v>13</v>
      </c>
      <c r="E270" s="2" t="s">
        <v>34</v>
      </c>
      <c r="F270" s="2">
        <v>110</v>
      </c>
      <c r="G270" s="2">
        <v>852390</v>
      </c>
    </row>
    <row r="271" spans="1:7" x14ac:dyDescent="0.3">
      <c r="A271" s="7">
        <v>45711</v>
      </c>
      <c r="B271" s="6" t="s">
        <v>25</v>
      </c>
      <c r="C271" s="2" t="s">
        <v>20</v>
      </c>
      <c r="D271" s="2" t="s">
        <v>9</v>
      </c>
      <c r="E271" s="2" t="s">
        <v>27</v>
      </c>
      <c r="F271" s="2">
        <v>241</v>
      </c>
      <c r="G271" s="2">
        <v>1101370</v>
      </c>
    </row>
    <row r="272" spans="1:7" x14ac:dyDescent="0.3">
      <c r="A272" s="7">
        <v>45996</v>
      </c>
      <c r="B272" s="6" t="s">
        <v>7</v>
      </c>
      <c r="C272" s="2" t="s">
        <v>41</v>
      </c>
      <c r="D272" s="2" t="s">
        <v>36</v>
      </c>
      <c r="E272" s="2" t="s">
        <v>27</v>
      </c>
      <c r="F272" s="2">
        <v>138</v>
      </c>
      <c r="G272" s="2">
        <v>879888</v>
      </c>
    </row>
    <row r="273" spans="1:7" x14ac:dyDescent="0.3">
      <c r="A273" s="7">
        <v>45919</v>
      </c>
      <c r="B273" s="6" t="s">
        <v>28</v>
      </c>
      <c r="C273" s="2" t="s">
        <v>8</v>
      </c>
      <c r="D273" s="2" t="s">
        <v>17</v>
      </c>
      <c r="E273" s="2" t="s">
        <v>18</v>
      </c>
      <c r="F273" s="2">
        <v>173</v>
      </c>
      <c r="G273" s="2">
        <v>490801</v>
      </c>
    </row>
    <row r="274" spans="1:7" x14ac:dyDescent="0.3">
      <c r="A274" s="7">
        <v>45795</v>
      </c>
      <c r="B274" s="6" t="s">
        <v>15</v>
      </c>
      <c r="C274" s="2" t="s">
        <v>31</v>
      </c>
      <c r="D274" s="2" t="s">
        <v>33</v>
      </c>
      <c r="E274" s="2" t="s">
        <v>27</v>
      </c>
      <c r="F274" s="2">
        <v>158</v>
      </c>
      <c r="G274" s="2">
        <v>418700</v>
      </c>
    </row>
    <row r="275" spans="1:7" x14ac:dyDescent="0.3">
      <c r="A275" s="7">
        <v>45771</v>
      </c>
      <c r="B275" s="6" t="s">
        <v>28</v>
      </c>
      <c r="C275" s="2" t="s">
        <v>16</v>
      </c>
      <c r="D275" s="2" t="s">
        <v>33</v>
      </c>
      <c r="E275" s="2" t="s">
        <v>34</v>
      </c>
      <c r="F275" s="2">
        <v>337</v>
      </c>
      <c r="G275" s="2">
        <v>623113</v>
      </c>
    </row>
    <row r="276" spans="1:7" x14ac:dyDescent="0.3">
      <c r="A276" s="7">
        <v>45811</v>
      </c>
      <c r="B276" s="6" t="s">
        <v>38</v>
      </c>
      <c r="C276" s="2" t="s">
        <v>16</v>
      </c>
      <c r="D276" s="2" t="s">
        <v>36</v>
      </c>
      <c r="E276" s="2" t="s">
        <v>32</v>
      </c>
      <c r="F276" s="2">
        <v>48</v>
      </c>
      <c r="G276" s="2">
        <v>152688</v>
      </c>
    </row>
    <row r="277" spans="1:7" x14ac:dyDescent="0.3">
      <c r="A277" s="7">
        <v>45863</v>
      </c>
      <c r="B277" s="6" t="s">
        <v>15</v>
      </c>
      <c r="C277" s="2" t="s">
        <v>35</v>
      </c>
      <c r="D277" s="2" t="s">
        <v>21</v>
      </c>
      <c r="E277" s="2" t="s">
        <v>27</v>
      </c>
      <c r="F277" s="2">
        <v>371</v>
      </c>
      <c r="G277" s="2">
        <v>442974</v>
      </c>
    </row>
    <row r="278" spans="1:7" x14ac:dyDescent="0.3">
      <c r="A278" s="7">
        <v>45774</v>
      </c>
      <c r="B278" s="6" t="s">
        <v>11</v>
      </c>
      <c r="C278" s="2" t="s">
        <v>20</v>
      </c>
      <c r="D278" s="2" t="s">
        <v>13</v>
      </c>
      <c r="E278" s="2" t="s">
        <v>24</v>
      </c>
      <c r="F278" s="2">
        <v>449</v>
      </c>
      <c r="G278" s="2">
        <v>1184462</v>
      </c>
    </row>
    <row r="279" spans="1:7" x14ac:dyDescent="0.3">
      <c r="A279" s="7">
        <v>45789</v>
      </c>
      <c r="B279" s="6" t="s">
        <v>28</v>
      </c>
      <c r="C279" s="2" t="s">
        <v>26</v>
      </c>
      <c r="D279" s="2" t="s">
        <v>36</v>
      </c>
      <c r="E279" s="2" t="s">
        <v>22</v>
      </c>
      <c r="F279" s="2">
        <v>333</v>
      </c>
      <c r="G279" s="2">
        <v>2101563</v>
      </c>
    </row>
    <row r="280" spans="1:7" x14ac:dyDescent="0.3">
      <c r="A280" s="7">
        <v>45827</v>
      </c>
      <c r="B280" s="6" t="s">
        <v>28</v>
      </c>
      <c r="C280" s="2" t="s">
        <v>41</v>
      </c>
      <c r="D280" s="2" t="s">
        <v>17</v>
      </c>
      <c r="E280" s="2" t="s">
        <v>27</v>
      </c>
      <c r="F280" s="2">
        <v>91</v>
      </c>
      <c r="G280" s="2">
        <v>258531</v>
      </c>
    </row>
    <row r="281" spans="1:7" x14ac:dyDescent="0.3">
      <c r="A281" s="7">
        <v>45784</v>
      </c>
      <c r="B281" s="6" t="s">
        <v>23</v>
      </c>
      <c r="C281" s="2" t="s">
        <v>26</v>
      </c>
      <c r="D281" s="2" t="s">
        <v>36</v>
      </c>
      <c r="E281" s="2" t="s">
        <v>18</v>
      </c>
      <c r="F281" s="2">
        <v>379</v>
      </c>
      <c r="G281" s="2">
        <v>828873</v>
      </c>
    </row>
    <row r="282" spans="1:7" x14ac:dyDescent="0.3">
      <c r="A282" s="7">
        <v>45959</v>
      </c>
      <c r="B282" s="6" t="s">
        <v>30</v>
      </c>
      <c r="C282" s="2" t="s">
        <v>26</v>
      </c>
      <c r="D282" s="2" t="s">
        <v>33</v>
      </c>
      <c r="E282" s="2" t="s">
        <v>40</v>
      </c>
      <c r="F282" s="2">
        <v>75</v>
      </c>
      <c r="G282" s="2">
        <v>436575</v>
      </c>
    </row>
    <row r="283" spans="1:7" x14ac:dyDescent="0.3">
      <c r="A283" s="7">
        <v>45831</v>
      </c>
      <c r="B283" s="6" t="s">
        <v>15</v>
      </c>
      <c r="C283" s="2" t="s">
        <v>12</v>
      </c>
      <c r="D283" s="2" t="s">
        <v>29</v>
      </c>
      <c r="E283" s="2" t="s">
        <v>37</v>
      </c>
      <c r="F283" s="2">
        <v>452</v>
      </c>
      <c r="G283" s="2">
        <v>3534188</v>
      </c>
    </row>
    <row r="284" spans="1:7" x14ac:dyDescent="0.3">
      <c r="A284" s="7">
        <v>45788</v>
      </c>
      <c r="B284" s="6" t="s">
        <v>25</v>
      </c>
      <c r="C284" s="2" t="s">
        <v>16</v>
      </c>
      <c r="D284" s="2" t="s">
        <v>13</v>
      </c>
      <c r="E284" s="2" t="s">
        <v>10</v>
      </c>
      <c r="F284" s="2">
        <v>338</v>
      </c>
      <c r="G284" s="2">
        <v>1042054</v>
      </c>
    </row>
    <row r="285" spans="1:7" x14ac:dyDescent="0.3">
      <c r="A285" s="7">
        <v>45677</v>
      </c>
      <c r="B285" s="6" t="s">
        <v>25</v>
      </c>
      <c r="C285" s="2" t="s">
        <v>35</v>
      </c>
      <c r="D285" s="2" t="s">
        <v>36</v>
      </c>
      <c r="E285" s="2" t="s">
        <v>32</v>
      </c>
      <c r="F285" s="2">
        <v>150</v>
      </c>
      <c r="G285" s="2">
        <v>1148700</v>
      </c>
    </row>
    <row r="286" spans="1:7" x14ac:dyDescent="0.3">
      <c r="A286" s="7">
        <v>45801</v>
      </c>
      <c r="B286" s="6" t="s">
        <v>30</v>
      </c>
      <c r="C286" s="2" t="s">
        <v>20</v>
      </c>
      <c r="D286" s="2" t="s">
        <v>33</v>
      </c>
      <c r="E286" s="2" t="s">
        <v>18</v>
      </c>
      <c r="F286" s="2">
        <v>398</v>
      </c>
      <c r="G286" s="2">
        <v>2521728</v>
      </c>
    </row>
    <row r="287" spans="1:7" x14ac:dyDescent="0.3">
      <c r="A287" s="7">
        <v>45764</v>
      </c>
      <c r="B287" s="6" t="s">
        <v>23</v>
      </c>
      <c r="C287" s="2" t="s">
        <v>41</v>
      </c>
      <c r="D287" s="2" t="s">
        <v>17</v>
      </c>
      <c r="E287" s="2" t="s">
        <v>37</v>
      </c>
      <c r="F287" s="2">
        <v>146</v>
      </c>
      <c r="G287" s="2">
        <v>1057624</v>
      </c>
    </row>
    <row r="288" spans="1:7" x14ac:dyDescent="0.3">
      <c r="A288" s="7">
        <v>45866</v>
      </c>
      <c r="B288" s="6" t="s">
        <v>25</v>
      </c>
      <c r="C288" s="2" t="s">
        <v>35</v>
      </c>
      <c r="D288" s="2" t="s">
        <v>13</v>
      </c>
      <c r="E288" s="2" t="s">
        <v>22</v>
      </c>
      <c r="F288" s="2">
        <v>169</v>
      </c>
      <c r="G288" s="2">
        <v>985608</v>
      </c>
    </row>
    <row r="289" spans="1:7" x14ac:dyDescent="0.3">
      <c r="A289" s="7">
        <v>45790</v>
      </c>
      <c r="B289" s="6" t="s">
        <v>39</v>
      </c>
      <c r="C289" s="2" t="s">
        <v>31</v>
      </c>
      <c r="D289" s="2" t="s">
        <v>17</v>
      </c>
      <c r="E289" s="2" t="s">
        <v>22</v>
      </c>
      <c r="F289" s="2">
        <v>336</v>
      </c>
      <c r="G289" s="2">
        <v>2107392</v>
      </c>
    </row>
    <row r="290" spans="1:7" x14ac:dyDescent="0.3">
      <c r="A290" s="7">
        <v>45805</v>
      </c>
      <c r="B290" s="6" t="s">
        <v>11</v>
      </c>
      <c r="C290" s="2" t="s">
        <v>26</v>
      </c>
      <c r="D290" s="2" t="s">
        <v>36</v>
      </c>
      <c r="E290" s="2" t="s">
        <v>24</v>
      </c>
      <c r="F290" s="2">
        <v>226</v>
      </c>
      <c r="G290" s="2">
        <v>264872</v>
      </c>
    </row>
    <row r="291" spans="1:7" x14ac:dyDescent="0.3">
      <c r="A291" s="7">
        <v>45782</v>
      </c>
      <c r="B291" s="6" t="s">
        <v>25</v>
      </c>
      <c r="C291" s="2" t="s">
        <v>26</v>
      </c>
      <c r="D291" s="2" t="s">
        <v>9</v>
      </c>
      <c r="E291" s="2" t="s">
        <v>32</v>
      </c>
      <c r="F291" s="2">
        <v>355</v>
      </c>
      <c r="G291" s="2">
        <v>2001135</v>
      </c>
    </row>
    <row r="292" spans="1:7" x14ac:dyDescent="0.3">
      <c r="A292" s="7">
        <v>46021</v>
      </c>
      <c r="B292" s="6" t="s">
        <v>11</v>
      </c>
      <c r="C292" s="2" t="s">
        <v>31</v>
      </c>
      <c r="D292" s="2" t="s">
        <v>33</v>
      </c>
      <c r="E292" s="2" t="s">
        <v>10</v>
      </c>
      <c r="F292" s="2">
        <v>426</v>
      </c>
      <c r="G292" s="2">
        <v>909936</v>
      </c>
    </row>
    <row r="293" spans="1:7" x14ac:dyDescent="0.3">
      <c r="A293" s="7">
        <v>45820</v>
      </c>
      <c r="B293" s="6" t="s">
        <v>28</v>
      </c>
      <c r="C293" s="2" t="s">
        <v>31</v>
      </c>
      <c r="D293" s="2" t="s">
        <v>21</v>
      </c>
      <c r="E293" s="2" t="s">
        <v>14</v>
      </c>
      <c r="F293" s="2">
        <v>256</v>
      </c>
      <c r="G293" s="2">
        <v>1998336</v>
      </c>
    </row>
    <row r="294" spans="1:7" x14ac:dyDescent="0.3">
      <c r="A294" s="7">
        <v>45862</v>
      </c>
      <c r="B294" s="6" t="s">
        <v>38</v>
      </c>
      <c r="C294" s="2" t="s">
        <v>31</v>
      </c>
      <c r="D294" s="2" t="s">
        <v>9</v>
      </c>
      <c r="E294" s="2" t="s">
        <v>22</v>
      </c>
      <c r="F294" s="2">
        <v>66</v>
      </c>
      <c r="G294" s="2">
        <v>198858</v>
      </c>
    </row>
    <row r="295" spans="1:7" x14ac:dyDescent="0.3">
      <c r="A295" s="7">
        <v>45938</v>
      </c>
      <c r="B295" s="6" t="s">
        <v>30</v>
      </c>
      <c r="C295" s="2" t="s">
        <v>31</v>
      </c>
      <c r="D295" s="2" t="s">
        <v>9</v>
      </c>
      <c r="E295" s="2" t="s">
        <v>14</v>
      </c>
      <c r="F295" s="2">
        <v>292</v>
      </c>
      <c r="G295" s="2">
        <v>1684840</v>
      </c>
    </row>
    <row r="296" spans="1:7" x14ac:dyDescent="0.3">
      <c r="A296" s="7">
        <v>45899</v>
      </c>
      <c r="B296" s="6" t="s">
        <v>28</v>
      </c>
      <c r="C296" s="2" t="s">
        <v>35</v>
      </c>
      <c r="D296" s="2" t="s">
        <v>21</v>
      </c>
      <c r="E296" s="2" t="s">
        <v>24</v>
      </c>
      <c r="F296" s="2">
        <v>397</v>
      </c>
      <c r="G296" s="2">
        <v>647904</v>
      </c>
    </row>
    <row r="297" spans="1:7" x14ac:dyDescent="0.3">
      <c r="A297" s="7">
        <v>45758</v>
      </c>
      <c r="B297" s="6" t="s">
        <v>11</v>
      </c>
      <c r="C297" s="2" t="s">
        <v>31</v>
      </c>
      <c r="D297" s="2" t="s">
        <v>21</v>
      </c>
      <c r="E297" s="2" t="s">
        <v>37</v>
      </c>
      <c r="F297" s="2">
        <v>122</v>
      </c>
      <c r="G297" s="2">
        <v>930372</v>
      </c>
    </row>
    <row r="298" spans="1:7" x14ac:dyDescent="0.3">
      <c r="A298" s="7">
        <v>45667</v>
      </c>
      <c r="B298" s="6" t="s">
        <v>28</v>
      </c>
      <c r="C298" s="2" t="s">
        <v>26</v>
      </c>
      <c r="D298" s="2" t="s">
        <v>29</v>
      </c>
      <c r="E298" s="2" t="s">
        <v>14</v>
      </c>
      <c r="F298" s="2">
        <v>485</v>
      </c>
      <c r="G298" s="2">
        <v>2253310</v>
      </c>
    </row>
    <row r="299" spans="1:7" x14ac:dyDescent="0.3">
      <c r="A299" s="7">
        <v>45917</v>
      </c>
      <c r="B299" s="6" t="s">
        <v>30</v>
      </c>
      <c r="C299" s="2" t="s">
        <v>31</v>
      </c>
      <c r="D299" s="2" t="s">
        <v>29</v>
      </c>
      <c r="E299" s="2" t="s">
        <v>18</v>
      </c>
      <c r="F299" s="2">
        <v>119</v>
      </c>
      <c r="G299" s="2">
        <v>774571</v>
      </c>
    </row>
    <row r="300" spans="1:7" x14ac:dyDescent="0.3">
      <c r="A300" s="7">
        <v>45760</v>
      </c>
      <c r="B300" s="6" t="s">
        <v>7</v>
      </c>
      <c r="C300" s="2" t="s">
        <v>8</v>
      </c>
      <c r="D300" s="2" t="s">
        <v>33</v>
      </c>
      <c r="E300" s="2" t="s">
        <v>37</v>
      </c>
      <c r="F300" s="2">
        <v>270</v>
      </c>
      <c r="G300" s="2">
        <v>672840</v>
      </c>
    </row>
    <row r="301" spans="1:7" x14ac:dyDescent="0.3">
      <c r="A301" s="7">
        <v>45849</v>
      </c>
      <c r="B301" s="6" t="s">
        <v>15</v>
      </c>
      <c r="C301" s="2" t="s">
        <v>26</v>
      </c>
      <c r="D301" s="2" t="s">
        <v>17</v>
      </c>
      <c r="E301" s="2" t="s">
        <v>27</v>
      </c>
      <c r="F301" s="2">
        <v>120</v>
      </c>
      <c r="G301" s="2">
        <v>791880</v>
      </c>
    </row>
    <row r="302" spans="1:7" x14ac:dyDescent="0.3">
      <c r="A302" s="7">
        <v>45774</v>
      </c>
      <c r="B302" s="6" t="s">
        <v>19</v>
      </c>
      <c r="C302" s="2" t="s">
        <v>8</v>
      </c>
      <c r="D302" s="2" t="s">
        <v>9</v>
      </c>
      <c r="E302" s="2" t="s">
        <v>18</v>
      </c>
      <c r="F302" s="2">
        <v>437</v>
      </c>
      <c r="G302" s="2">
        <v>3390683</v>
      </c>
    </row>
    <row r="303" spans="1:7" x14ac:dyDescent="0.3">
      <c r="A303" s="7">
        <v>45915</v>
      </c>
      <c r="B303" s="6" t="s">
        <v>30</v>
      </c>
      <c r="C303" s="2" t="s">
        <v>16</v>
      </c>
      <c r="D303" s="2" t="s">
        <v>36</v>
      </c>
      <c r="E303" s="2" t="s">
        <v>40</v>
      </c>
      <c r="F303" s="2">
        <v>168</v>
      </c>
      <c r="G303" s="2">
        <v>478968</v>
      </c>
    </row>
    <row r="304" spans="1:7" x14ac:dyDescent="0.3">
      <c r="A304" s="7">
        <v>45905</v>
      </c>
      <c r="B304" s="6" t="s">
        <v>28</v>
      </c>
      <c r="C304" s="2" t="s">
        <v>8</v>
      </c>
      <c r="D304" s="2" t="s">
        <v>21</v>
      </c>
      <c r="E304" s="2" t="s">
        <v>24</v>
      </c>
      <c r="F304" s="2">
        <v>241</v>
      </c>
      <c r="G304" s="2">
        <v>288718</v>
      </c>
    </row>
    <row r="305" spans="1:7" x14ac:dyDescent="0.3">
      <c r="A305" s="7">
        <v>45687</v>
      </c>
      <c r="B305" s="6" t="s">
        <v>38</v>
      </c>
      <c r="C305" s="2" t="s">
        <v>35</v>
      </c>
      <c r="D305" s="2" t="s">
        <v>36</v>
      </c>
      <c r="E305" s="2" t="s">
        <v>32</v>
      </c>
      <c r="F305" s="2">
        <v>163</v>
      </c>
      <c r="G305" s="2">
        <v>561372</v>
      </c>
    </row>
    <row r="306" spans="1:7" x14ac:dyDescent="0.3">
      <c r="A306" s="7">
        <v>45795</v>
      </c>
      <c r="B306" s="6" t="s">
        <v>38</v>
      </c>
      <c r="C306" s="2" t="s">
        <v>31</v>
      </c>
      <c r="D306" s="2" t="s">
        <v>21</v>
      </c>
      <c r="E306" s="2" t="s">
        <v>24</v>
      </c>
      <c r="F306" s="2">
        <v>410</v>
      </c>
      <c r="G306" s="2">
        <v>1668700</v>
      </c>
    </row>
    <row r="307" spans="1:7" x14ac:dyDescent="0.3">
      <c r="A307" s="7">
        <v>45704</v>
      </c>
      <c r="B307" s="6" t="s">
        <v>23</v>
      </c>
      <c r="C307" s="2" t="s">
        <v>31</v>
      </c>
      <c r="D307" s="2" t="s">
        <v>21</v>
      </c>
      <c r="E307" s="2" t="s">
        <v>14</v>
      </c>
      <c r="F307" s="2">
        <v>178</v>
      </c>
      <c r="G307" s="2">
        <v>1373626</v>
      </c>
    </row>
    <row r="308" spans="1:7" x14ac:dyDescent="0.3">
      <c r="A308" s="7">
        <v>45873</v>
      </c>
      <c r="B308" s="6" t="s">
        <v>11</v>
      </c>
      <c r="C308" s="2" t="s">
        <v>8</v>
      </c>
      <c r="D308" s="2" t="s">
        <v>9</v>
      </c>
      <c r="E308" s="2" t="s">
        <v>27</v>
      </c>
      <c r="F308" s="2">
        <v>440</v>
      </c>
      <c r="G308" s="2">
        <v>2111560</v>
      </c>
    </row>
    <row r="309" spans="1:7" x14ac:dyDescent="0.3">
      <c r="A309" s="7">
        <v>45808</v>
      </c>
      <c r="B309" s="6" t="s">
        <v>11</v>
      </c>
      <c r="C309" s="2" t="s">
        <v>26</v>
      </c>
      <c r="D309" s="2" t="s">
        <v>21</v>
      </c>
      <c r="E309" s="2" t="s">
        <v>22</v>
      </c>
      <c r="F309" s="2">
        <v>399</v>
      </c>
      <c r="G309" s="2">
        <v>1758393</v>
      </c>
    </row>
    <row r="310" spans="1:7" x14ac:dyDescent="0.3">
      <c r="A310" s="7">
        <v>45799</v>
      </c>
      <c r="B310" s="6" t="s">
        <v>25</v>
      </c>
      <c r="C310" s="2" t="s">
        <v>35</v>
      </c>
      <c r="D310" s="2" t="s">
        <v>9</v>
      </c>
      <c r="E310" s="2" t="s">
        <v>24</v>
      </c>
      <c r="F310" s="2">
        <v>267</v>
      </c>
      <c r="G310" s="2">
        <v>1461291</v>
      </c>
    </row>
    <row r="311" spans="1:7" x14ac:dyDescent="0.3">
      <c r="A311" s="7">
        <v>45669</v>
      </c>
      <c r="B311" s="6" t="s">
        <v>15</v>
      </c>
      <c r="C311" s="2" t="s">
        <v>20</v>
      </c>
      <c r="D311" s="2" t="s">
        <v>36</v>
      </c>
      <c r="E311" s="2" t="s">
        <v>27</v>
      </c>
      <c r="F311" s="2">
        <v>71</v>
      </c>
      <c r="G311" s="2">
        <v>211864</v>
      </c>
    </row>
    <row r="312" spans="1:7" x14ac:dyDescent="0.3">
      <c r="A312" s="7">
        <v>45997</v>
      </c>
      <c r="B312" s="6" t="s">
        <v>28</v>
      </c>
      <c r="C312" s="2" t="s">
        <v>8</v>
      </c>
      <c r="D312" s="2" t="s">
        <v>17</v>
      </c>
      <c r="E312" s="2" t="s">
        <v>37</v>
      </c>
      <c r="F312" s="2">
        <v>406</v>
      </c>
      <c r="G312" s="2">
        <v>2652398</v>
      </c>
    </row>
    <row r="313" spans="1:7" x14ac:dyDescent="0.3">
      <c r="A313" s="7">
        <v>45872</v>
      </c>
      <c r="B313" s="6" t="s">
        <v>19</v>
      </c>
      <c r="C313" s="2" t="s">
        <v>26</v>
      </c>
      <c r="D313" s="2" t="s">
        <v>36</v>
      </c>
      <c r="E313" s="2" t="s">
        <v>32</v>
      </c>
      <c r="F313" s="2">
        <v>302</v>
      </c>
      <c r="G313" s="2">
        <v>2226344</v>
      </c>
    </row>
    <row r="314" spans="1:7" x14ac:dyDescent="0.3">
      <c r="A314" s="7">
        <v>45659</v>
      </c>
      <c r="B314" s="6" t="s">
        <v>15</v>
      </c>
      <c r="C314" s="2" t="s">
        <v>31</v>
      </c>
      <c r="D314" s="2" t="s">
        <v>29</v>
      </c>
      <c r="E314" s="2" t="s">
        <v>22</v>
      </c>
      <c r="F314" s="2">
        <v>93</v>
      </c>
      <c r="G314" s="2">
        <v>239103</v>
      </c>
    </row>
    <row r="315" spans="1:7" x14ac:dyDescent="0.3">
      <c r="A315" s="7">
        <v>45891</v>
      </c>
      <c r="B315" s="6" t="s">
        <v>30</v>
      </c>
      <c r="C315" s="2" t="s">
        <v>16</v>
      </c>
      <c r="D315" s="2" t="s">
        <v>17</v>
      </c>
      <c r="E315" s="2" t="s">
        <v>27</v>
      </c>
      <c r="F315" s="2">
        <v>278</v>
      </c>
      <c r="G315" s="2">
        <v>1998542</v>
      </c>
    </row>
    <row r="316" spans="1:7" x14ac:dyDescent="0.3">
      <c r="A316" s="7">
        <v>45986</v>
      </c>
      <c r="B316" s="6" t="s">
        <v>39</v>
      </c>
      <c r="C316" s="2" t="s">
        <v>41</v>
      </c>
      <c r="D316" s="2" t="s">
        <v>21</v>
      </c>
      <c r="E316" s="2" t="s">
        <v>37</v>
      </c>
      <c r="F316" s="2">
        <v>454</v>
      </c>
      <c r="G316" s="2">
        <v>1445990</v>
      </c>
    </row>
    <row r="317" spans="1:7" x14ac:dyDescent="0.3">
      <c r="A317" s="7">
        <v>45676</v>
      </c>
      <c r="B317" s="6" t="s">
        <v>19</v>
      </c>
      <c r="C317" s="2" t="s">
        <v>16</v>
      </c>
      <c r="D317" s="2" t="s">
        <v>17</v>
      </c>
      <c r="E317" s="2" t="s">
        <v>40</v>
      </c>
      <c r="F317" s="2">
        <v>434</v>
      </c>
      <c r="G317" s="2">
        <v>2074086</v>
      </c>
    </row>
    <row r="318" spans="1:7" x14ac:dyDescent="0.3">
      <c r="A318" s="7">
        <v>45844</v>
      </c>
      <c r="B318" s="6" t="s">
        <v>11</v>
      </c>
      <c r="C318" s="2" t="s">
        <v>20</v>
      </c>
      <c r="D318" s="2" t="s">
        <v>29</v>
      </c>
      <c r="E318" s="2" t="s">
        <v>10</v>
      </c>
      <c r="F318" s="2">
        <v>102</v>
      </c>
      <c r="G318" s="2">
        <v>421974</v>
      </c>
    </row>
    <row r="319" spans="1:7" x14ac:dyDescent="0.3">
      <c r="A319" s="7">
        <v>45717</v>
      </c>
      <c r="B319" s="6" t="s">
        <v>39</v>
      </c>
      <c r="C319" s="2" t="s">
        <v>16</v>
      </c>
      <c r="D319" s="2" t="s">
        <v>13</v>
      </c>
      <c r="E319" s="2" t="s">
        <v>32</v>
      </c>
      <c r="F319" s="2">
        <v>248</v>
      </c>
      <c r="G319" s="2">
        <v>1832720</v>
      </c>
    </row>
    <row r="320" spans="1:7" x14ac:dyDescent="0.3">
      <c r="A320" s="7">
        <v>46002</v>
      </c>
      <c r="B320" s="6" t="s">
        <v>39</v>
      </c>
      <c r="C320" s="2" t="s">
        <v>12</v>
      </c>
      <c r="D320" s="2" t="s">
        <v>9</v>
      </c>
      <c r="E320" s="2" t="s">
        <v>34</v>
      </c>
      <c r="F320" s="2">
        <v>442</v>
      </c>
      <c r="G320" s="2">
        <v>3220854</v>
      </c>
    </row>
    <row r="321" spans="1:7" x14ac:dyDescent="0.3">
      <c r="A321" s="7">
        <v>45917</v>
      </c>
      <c r="B321" s="6" t="s">
        <v>28</v>
      </c>
      <c r="C321" s="2" t="s">
        <v>20</v>
      </c>
      <c r="D321" s="2" t="s">
        <v>33</v>
      </c>
      <c r="E321" s="2" t="s">
        <v>27</v>
      </c>
      <c r="F321" s="2">
        <v>214</v>
      </c>
      <c r="G321" s="2">
        <v>1151962</v>
      </c>
    </row>
    <row r="322" spans="1:7" x14ac:dyDescent="0.3">
      <c r="A322" s="7">
        <v>45928</v>
      </c>
      <c r="B322" s="6" t="s">
        <v>38</v>
      </c>
      <c r="C322" s="2" t="s">
        <v>8</v>
      </c>
      <c r="D322" s="2" t="s">
        <v>17</v>
      </c>
      <c r="E322" s="2" t="s">
        <v>18</v>
      </c>
      <c r="F322" s="2">
        <v>495</v>
      </c>
      <c r="G322" s="2">
        <v>2253240</v>
      </c>
    </row>
    <row r="323" spans="1:7" x14ac:dyDescent="0.3">
      <c r="A323" s="7">
        <v>45709</v>
      </c>
      <c r="B323" s="6" t="s">
        <v>15</v>
      </c>
      <c r="C323" s="2" t="s">
        <v>20</v>
      </c>
      <c r="D323" s="2" t="s">
        <v>36</v>
      </c>
      <c r="E323" s="2" t="s">
        <v>24</v>
      </c>
      <c r="F323" s="2">
        <v>102</v>
      </c>
      <c r="G323" s="2">
        <v>480012</v>
      </c>
    </row>
    <row r="324" spans="1:7" x14ac:dyDescent="0.3">
      <c r="A324" s="7">
        <v>45744</v>
      </c>
      <c r="B324" s="6" t="s">
        <v>30</v>
      </c>
      <c r="C324" s="2" t="s">
        <v>8</v>
      </c>
      <c r="D324" s="2" t="s">
        <v>9</v>
      </c>
      <c r="E324" s="2" t="s">
        <v>24</v>
      </c>
      <c r="F324" s="2">
        <v>139</v>
      </c>
      <c r="G324" s="2">
        <v>445634</v>
      </c>
    </row>
    <row r="325" spans="1:7" x14ac:dyDescent="0.3">
      <c r="A325" s="7">
        <v>45947</v>
      </c>
      <c r="B325" s="6" t="s">
        <v>30</v>
      </c>
      <c r="C325" s="2" t="s">
        <v>31</v>
      </c>
      <c r="D325" s="2" t="s">
        <v>36</v>
      </c>
      <c r="E325" s="2" t="s">
        <v>18</v>
      </c>
      <c r="F325" s="2">
        <v>448</v>
      </c>
      <c r="G325" s="2">
        <v>2237312</v>
      </c>
    </row>
    <row r="326" spans="1:7" x14ac:dyDescent="0.3">
      <c r="A326" s="7">
        <v>45735</v>
      </c>
      <c r="B326" s="6" t="s">
        <v>19</v>
      </c>
      <c r="C326" s="2" t="s">
        <v>41</v>
      </c>
      <c r="D326" s="2" t="s">
        <v>13</v>
      </c>
      <c r="E326" s="2" t="s">
        <v>10</v>
      </c>
      <c r="F326" s="2">
        <v>204</v>
      </c>
      <c r="G326" s="2">
        <v>517548</v>
      </c>
    </row>
    <row r="327" spans="1:7" x14ac:dyDescent="0.3">
      <c r="A327" s="7">
        <v>45780</v>
      </c>
      <c r="B327" s="6" t="s">
        <v>28</v>
      </c>
      <c r="C327" s="2" t="s">
        <v>35</v>
      </c>
      <c r="D327" s="2" t="s">
        <v>29</v>
      </c>
      <c r="E327" s="2" t="s">
        <v>27</v>
      </c>
      <c r="F327" s="2">
        <v>253</v>
      </c>
      <c r="G327" s="2">
        <v>1893958</v>
      </c>
    </row>
    <row r="328" spans="1:7" x14ac:dyDescent="0.3">
      <c r="A328" s="7">
        <v>45704</v>
      </c>
      <c r="B328" s="6" t="s">
        <v>38</v>
      </c>
      <c r="C328" s="2" t="s">
        <v>41</v>
      </c>
      <c r="D328" s="2" t="s">
        <v>33</v>
      </c>
      <c r="E328" s="2" t="s">
        <v>14</v>
      </c>
      <c r="F328" s="2">
        <v>470</v>
      </c>
      <c r="G328" s="2">
        <v>3102000</v>
      </c>
    </row>
    <row r="329" spans="1:7" x14ac:dyDescent="0.3">
      <c r="A329" s="7">
        <v>45814</v>
      </c>
      <c r="B329" s="6" t="s">
        <v>15</v>
      </c>
      <c r="C329" s="2" t="s">
        <v>20</v>
      </c>
      <c r="D329" s="2" t="s">
        <v>13</v>
      </c>
      <c r="E329" s="2" t="s">
        <v>32</v>
      </c>
      <c r="F329" s="2">
        <v>158</v>
      </c>
      <c r="G329" s="2">
        <v>233366</v>
      </c>
    </row>
    <row r="330" spans="1:7" x14ac:dyDescent="0.3">
      <c r="A330" s="7">
        <v>45954</v>
      </c>
      <c r="B330" s="6" t="s">
        <v>7</v>
      </c>
      <c r="C330" s="2" t="s">
        <v>20</v>
      </c>
      <c r="D330" s="2" t="s">
        <v>29</v>
      </c>
      <c r="E330" s="2" t="s">
        <v>37</v>
      </c>
      <c r="F330" s="2">
        <v>490</v>
      </c>
      <c r="G330" s="2">
        <v>1507240</v>
      </c>
    </row>
    <row r="331" spans="1:7" x14ac:dyDescent="0.3">
      <c r="A331" s="7">
        <v>45872</v>
      </c>
      <c r="B331" s="6" t="s">
        <v>25</v>
      </c>
      <c r="C331" s="2" t="s">
        <v>12</v>
      </c>
      <c r="D331" s="2" t="s">
        <v>17</v>
      </c>
      <c r="E331" s="2" t="s">
        <v>14</v>
      </c>
      <c r="F331" s="2">
        <v>68</v>
      </c>
      <c r="G331" s="2">
        <v>251260</v>
      </c>
    </row>
    <row r="332" spans="1:7" x14ac:dyDescent="0.3">
      <c r="A332" s="7">
        <v>45667</v>
      </c>
      <c r="B332" s="6" t="s">
        <v>30</v>
      </c>
      <c r="C332" s="2" t="s">
        <v>20</v>
      </c>
      <c r="D332" s="2" t="s">
        <v>17</v>
      </c>
      <c r="E332" s="2" t="s">
        <v>24</v>
      </c>
      <c r="F332" s="2">
        <v>400</v>
      </c>
      <c r="G332" s="2">
        <v>1218800</v>
      </c>
    </row>
    <row r="333" spans="1:7" x14ac:dyDescent="0.3">
      <c r="A333" s="7">
        <v>45721</v>
      </c>
      <c r="B333" s="6" t="s">
        <v>28</v>
      </c>
      <c r="C333" s="2" t="s">
        <v>35</v>
      </c>
      <c r="D333" s="2" t="s">
        <v>9</v>
      </c>
      <c r="E333" s="2" t="s">
        <v>18</v>
      </c>
      <c r="F333" s="2">
        <v>72</v>
      </c>
      <c r="G333" s="2">
        <v>574344</v>
      </c>
    </row>
    <row r="334" spans="1:7" x14ac:dyDescent="0.3">
      <c r="A334" s="7">
        <v>45881</v>
      </c>
      <c r="B334" s="6" t="s">
        <v>28</v>
      </c>
      <c r="C334" s="2" t="s">
        <v>41</v>
      </c>
      <c r="D334" s="2" t="s">
        <v>33</v>
      </c>
      <c r="E334" s="2" t="s">
        <v>37</v>
      </c>
      <c r="F334" s="2">
        <v>110</v>
      </c>
      <c r="G334" s="2">
        <v>606650</v>
      </c>
    </row>
    <row r="335" spans="1:7" x14ac:dyDescent="0.3">
      <c r="A335" s="7">
        <v>45959</v>
      </c>
      <c r="B335" s="6" t="s">
        <v>19</v>
      </c>
      <c r="C335" s="2" t="s">
        <v>35</v>
      </c>
      <c r="D335" s="2" t="s">
        <v>17</v>
      </c>
      <c r="E335" s="2" t="s">
        <v>14</v>
      </c>
      <c r="F335" s="2">
        <v>197</v>
      </c>
      <c r="G335" s="2">
        <v>313821</v>
      </c>
    </row>
    <row r="336" spans="1:7" x14ac:dyDescent="0.3">
      <c r="A336" s="7">
        <v>46009</v>
      </c>
      <c r="B336" s="6" t="s">
        <v>30</v>
      </c>
      <c r="C336" s="2" t="s">
        <v>35</v>
      </c>
      <c r="D336" s="2" t="s">
        <v>17</v>
      </c>
      <c r="E336" s="2" t="s">
        <v>37</v>
      </c>
      <c r="F336" s="2">
        <v>156</v>
      </c>
      <c r="G336" s="2">
        <v>962520</v>
      </c>
    </row>
    <row r="337" spans="1:7" x14ac:dyDescent="0.3">
      <c r="A337" s="7">
        <v>45805</v>
      </c>
      <c r="B337" s="6" t="s">
        <v>28</v>
      </c>
      <c r="C337" s="2" t="s">
        <v>31</v>
      </c>
      <c r="D337" s="2" t="s">
        <v>29</v>
      </c>
      <c r="E337" s="2" t="s">
        <v>18</v>
      </c>
      <c r="F337" s="2">
        <v>129</v>
      </c>
      <c r="G337" s="2">
        <v>935121</v>
      </c>
    </row>
    <row r="338" spans="1:7" x14ac:dyDescent="0.3">
      <c r="A338" s="7">
        <v>45873</v>
      </c>
      <c r="B338" s="6" t="s">
        <v>30</v>
      </c>
      <c r="C338" s="2" t="s">
        <v>26</v>
      </c>
      <c r="D338" s="2" t="s">
        <v>33</v>
      </c>
      <c r="E338" s="2" t="s">
        <v>24</v>
      </c>
      <c r="F338" s="2">
        <v>448</v>
      </c>
      <c r="G338" s="2">
        <v>2117696</v>
      </c>
    </row>
    <row r="339" spans="1:7" x14ac:dyDescent="0.3">
      <c r="A339" s="7">
        <v>45887</v>
      </c>
      <c r="B339" s="6" t="s">
        <v>11</v>
      </c>
      <c r="C339" s="2" t="s">
        <v>20</v>
      </c>
      <c r="D339" s="2" t="s">
        <v>21</v>
      </c>
      <c r="E339" s="2" t="s">
        <v>37</v>
      </c>
      <c r="F339" s="2">
        <v>498</v>
      </c>
      <c r="G339" s="2">
        <v>2513406</v>
      </c>
    </row>
    <row r="340" spans="1:7" x14ac:dyDescent="0.3">
      <c r="A340" s="7">
        <v>45798</v>
      </c>
      <c r="B340" s="6" t="s">
        <v>38</v>
      </c>
      <c r="C340" s="2" t="s">
        <v>20</v>
      </c>
      <c r="D340" s="2" t="s">
        <v>29</v>
      </c>
      <c r="E340" s="2" t="s">
        <v>40</v>
      </c>
      <c r="F340" s="2">
        <v>401</v>
      </c>
      <c r="G340" s="2">
        <v>700547</v>
      </c>
    </row>
    <row r="341" spans="1:7" x14ac:dyDescent="0.3">
      <c r="A341" s="7">
        <v>45688</v>
      </c>
      <c r="B341" s="6" t="s">
        <v>7</v>
      </c>
      <c r="C341" s="2" t="s">
        <v>31</v>
      </c>
      <c r="D341" s="2" t="s">
        <v>21</v>
      </c>
      <c r="E341" s="2" t="s">
        <v>18</v>
      </c>
      <c r="F341" s="2">
        <v>127</v>
      </c>
      <c r="G341" s="2">
        <v>998220</v>
      </c>
    </row>
    <row r="342" spans="1:7" x14ac:dyDescent="0.3">
      <c r="A342" s="7">
        <v>45832</v>
      </c>
      <c r="B342" s="6" t="s">
        <v>39</v>
      </c>
      <c r="C342" s="2" t="s">
        <v>8</v>
      </c>
      <c r="D342" s="2" t="s">
        <v>33</v>
      </c>
      <c r="E342" s="2" t="s">
        <v>34</v>
      </c>
      <c r="F342" s="2">
        <v>149</v>
      </c>
      <c r="G342" s="2">
        <v>1040467</v>
      </c>
    </row>
    <row r="343" spans="1:7" x14ac:dyDescent="0.3">
      <c r="A343" s="7">
        <v>45660</v>
      </c>
      <c r="B343" s="6" t="s">
        <v>11</v>
      </c>
      <c r="C343" s="2" t="s">
        <v>31</v>
      </c>
      <c r="D343" s="2" t="s">
        <v>17</v>
      </c>
      <c r="E343" s="2" t="s">
        <v>34</v>
      </c>
      <c r="F343" s="2">
        <v>340</v>
      </c>
      <c r="G343" s="2">
        <v>1327700</v>
      </c>
    </row>
    <row r="344" spans="1:7" x14ac:dyDescent="0.3">
      <c r="A344" s="7">
        <v>45761</v>
      </c>
      <c r="B344" s="6" t="s">
        <v>11</v>
      </c>
      <c r="C344" s="2" t="s">
        <v>20</v>
      </c>
      <c r="D344" s="2" t="s">
        <v>17</v>
      </c>
      <c r="E344" s="2" t="s">
        <v>22</v>
      </c>
      <c r="F344" s="2">
        <v>232</v>
      </c>
      <c r="G344" s="2">
        <v>277936</v>
      </c>
    </row>
    <row r="345" spans="1:7" x14ac:dyDescent="0.3">
      <c r="A345" s="7">
        <v>45853</v>
      </c>
      <c r="B345" s="6" t="s">
        <v>28</v>
      </c>
      <c r="C345" s="2" t="s">
        <v>41</v>
      </c>
      <c r="D345" s="2" t="s">
        <v>33</v>
      </c>
      <c r="E345" s="2" t="s">
        <v>22</v>
      </c>
      <c r="F345" s="2">
        <v>491</v>
      </c>
      <c r="G345" s="2">
        <v>1809335</v>
      </c>
    </row>
    <row r="346" spans="1:7" x14ac:dyDescent="0.3">
      <c r="A346" s="7">
        <v>45807</v>
      </c>
      <c r="B346" s="6" t="s">
        <v>23</v>
      </c>
      <c r="C346" s="2" t="s">
        <v>35</v>
      </c>
      <c r="D346" s="2" t="s">
        <v>36</v>
      </c>
      <c r="E346" s="2" t="s">
        <v>34</v>
      </c>
      <c r="F346" s="2">
        <v>473</v>
      </c>
      <c r="G346" s="2">
        <v>2323849</v>
      </c>
    </row>
    <row r="347" spans="1:7" x14ac:dyDescent="0.3">
      <c r="A347" s="7">
        <v>45873</v>
      </c>
      <c r="B347" s="6" t="s">
        <v>30</v>
      </c>
      <c r="C347" s="2" t="s">
        <v>20</v>
      </c>
      <c r="D347" s="2" t="s">
        <v>17</v>
      </c>
      <c r="E347" s="2" t="s">
        <v>37</v>
      </c>
      <c r="F347" s="2">
        <v>330</v>
      </c>
      <c r="G347" s="2">
        <v>2272380</v>
      </c>
    </row>
    <row r="348" spans="1:7" x14ac:dyDescent="0.3">
      <c r="A348" s="7">
        <v>45811</v>
      </c>
      <c r="B348" s="6" t="s">
        <v>11</v>
      </c>
      <c r="C348" s="2" t="s">
        <v>26</v>
      </c>
      <c r="D348" s="2" t="s">
        <v>29</v>
      </c>
      <c r="E348" s="2" t="s">
        <v>40</v>
      </c>
      <c r="F348" s="2">
        <v>79</v>
      </c>
      <c r="G348" s="2">
        <v>414434</v>
      </c>
    </row>
    <row r="349" spans="1:7" x14ac:dyDescent="0.3">
      <c r="A349" s="7">
        <v>45954</v>
      </c>
      <c r="B349" s="6" t="s">
        <v>19</v>
      </c>
      <c r="C349" s="2" t="s">
        <v>20</v>
      </c>
      <c r="D349" s="2" t="s">
        <v>17</v>
      </c>
      <c r="E349" s="2" t="s">
        <v>34</v>
      </c>
      <c r="F349" s="2">
        <v>481</v>
      </c>
      <c r="G349" s="2">
        <v>933140</v>
      </c>
    </row>
    <row r="350" spans="1:7" x14ac:dyDescent="0.3">
      <c r="A350" s="7">
        <v>46005</v>
      </c>
      <c r="B350" s="6" t="s">
        <v>23</v>
      </c>
      <c r="C350" s="2" t="s">
        <v>20</v>
      </c>
      <c r="D350" s="2" t="s">
        <v>13</v>
      </c>
      <c r="E350" s="2" t="s">
        <v>24</v>
      </c>
      <c r="F350" s="2">
        <v>449</v>
      </c>
      <c r="G350" s="2">
        <v>2978666</v>
      </c>
    </row>
    <row r="351" spans="1:7" x14ac:dyDescent="0.3">
      <c r="A351" s="7">
        <v>45902</v>
      </c>
      <c r="B351" s="6" t="s">
        <v>23</v>
      </c>
      <c r="C351" s="2" t="s">
        <v>12</v>
      </c>
      <c r="D351" s="2" t="s">
        <v>17</v>
      </c>
      <c r="E351" s="2" t="s">
        <v>22</v>
      </c>
      <c r="F351" s="2">
        <v>32</v>
      </c>
      <c r="G351" s="2">
        <v>169952</v>
      </c>
    </row>
    <row r="352" spans="1:7" x14ac:dyDescent="0.3">
      <c r="A352" s="7">
        <v>45852</v>
      </c>
      <c r="B352" s="6" t="s">
        <v>19</v>
      </c>
      <c r="C352" s="2" t="s">
        <v>12</v>
      </c>
      <c r="D352" s="2" t="s">
        <v>9</v>
      </c>
      <c r="E352" s="2" t="s">
        <v>40</v>
      </c>
      <c r="F352" s="2">
        <v>385</v>
      </c>
      <c r="G352" s="2">
        <v>644490</v>
      </c>
    </row>
    <row r="353" spans="1:7" x14ac:dyDescent="0.3">
      <c r="A353" s="7">
        <v>46023</v>
      </c>
      <c r="B353" s="6" t="s">
        <v>30</v>
      </c>
      <c r="C353" s="2" t="s">
        <v>41</v>
      </c>
      <c r="D353" s="2" t="s">
        <v>36</v>
      </c>
      <c r="E353" s="2" t="s">
        <v>14</v>
      </c>
      <c r="F353" s="2">
        <v>126</v>
      </c>
      <c r="G353" s="2">
        <v>593838</v>
      </c>
    </row>
    <row r="354" spans="1:7" x14ac:dyDescent="0.3">
      <c r="A354" s="7">
        <v>45784</v>
      </c>
      <c r="B354" s="6" t="s">
        <v>38</v>
      </c>
      <c r="C354" s="2" t="s">
        <v>31</v>
      </c>
      <c r="D354" s="2" t="s">
        <v>21</v>
      </c>
      <c r="E354" s="2" t="s">
        <v>34</v>
      </c>
      <c r="F354" s="2">
        <v>278</v>
      </c>
      <c r="G354" s="2">
        <v>1273240</v>
      </c>
    </row>
    <row r="355" spans="1:7" x14ac:dyDescent="0.3">
      <c r="A355" s="7">
        <v>45774</v>
      </c>
      <c r="B355" s="6" t="s">
        <v>25</v>
      </c>
      <c r="C355" s="2" t="s">
        <v>8</v>
      </c>
      <c r="D355" s="2" t="s">
        <v>9</v>
      </c>
      <c r="E355" s="2" t="s">
        <v>10</v>
      </c>
      <c r="F355" s="2">
        <v>254</v>
      </c>
      <c r="G355" s="2">
        <v>1535430</v>
      </c>
    </row>
    <row r="356" spans="1:7" x14ac:dyDescent="0.3">
      <c r="A356" s="7">
        <v>45726</v>
      </c>
      <c r="B356" s="6" t="s">
        <v>23</v>
      </c>
      <c r="C356" s="2" t="s">
        <v>41</v>
      </c>
      <c r="D356" s="2" t="s">
        <v>36</v>
      </c>
      <c r="E356" s="2" t="s">
        <v>40</v>
      </c>
      <c r="F356" s="2">
        <v>492</v>
      </c>
      <c r="G356" s="2">
        <v>3917796</v>
      </c>
    </row>
    <row r="357" spans="1:7" x14ac:dyDescent="0.3">
      <c r="A357" s="7">
        <v>46010</v>
      </c>
      <c r="B357" s="6" t="s">
        <v>25</v>
      </c>
      <c r="C357" s="2" t="s">
        <v>31</v>
      </c>
      <c r="D357" s="2" t="s">
        <v>33</v>
      </c>
      <c r="E357" s="2" t="s">
        <v>37</v>
      </c>
      <c r="F357" s="2">
        <v>290</v>
      </c>
      <c r="G357" s="2">
        <v>1313410</v>
      </c>
    </row>
    <row r="358" spans="1:7" x14ac:dyDescent="0.3">
      <c r="A358" s="7">
        <v>45928</v>
      </c>
      <c r="B358" s="6" t="s">
        <v>30</v>
      </c>
      <c r="C358" s="2" t="s">
        <v>20</v>
      </c>
      <c r="D358" s="2" t="s">
        <v>21</v>
      </c>
      <c r="E358" s="2" t="s">
        <v>24</v>
      </c>
      <c r="F358" s="2">
        <v>365</v>
      </c>
      <c r="G358" s="2">
        <v>426320</v>
      </c>
    </row>
    <row r="359" spans="1:7" x14ac:dyDescent="0.3">
      <c r="A359" s="7">
        <v>45860</v>
      </c>
      <c r="B359" s="6" t="s">
        <v>15</v>
      </c>
      <c r="C359" s="2" t="s">
        <v>8</v>
      </c>
      <c r="D359" s="2" t="s">
        <v>9</v>
      </c>
      <c r="E359" s="2" t="s">
        <v>27</v>
      </c>
      <c r="F359" s="2">
        <v>396</v>
      </c>
      <c r="G359" s="2">
        <v>2183940</v>
      </c>
    </row>
    <row r="360" spans="1:7" x14ac:dyDescent="0.3">
      <c r="A360" s="7">
        <v>45871</v>
      </c>
      <c r="B360" s="6" t="s">
        <v>11</v>
      </c>
      <c r="C360" s="2" t="s">
        <v>20</v>
      </c>
      <c r="D360" s="2" t="s">
        <v>21</v>
      </c>
      <c r="E360" s="2" t="s">
        <v>34</v>
      </c>
      <c r="F360" s="2">
        <v>246</v>
      </c>
      <c r="G360" s="2">
        <v>416232</v>
      </c>
    </row>
    <row r="361" spans="1:7" x14ac:dyDescent="0.3">
      <c r="A361" s="7">
        <v>45709</v>
      </c>
      <c r="B361" s="6" t="s">
        <v>28</v>
      </c>
      <c r="C361" s="2" t="s">
        <v>26</v>
      </c>
      <c r="D361" s="2" t="s">
        <v>13</v>
      </c>
      <c r="E361" s="2" t="s">
        <v>14</v>
      </c>
      <c r="F361" s="2">
        <v>159</v>
      </c>
      <c r="G361" s="2">
        <v>512457</v>
      </c>
    </row>
    <row r="362" spans="1:7" x14ac:dyDescent="0.3">
      <c r="A362" s="7">
        <v>45842</v>
      </c>
      <c r="B362" s="6" t="s">
        <v>15</v>
      </c>
      <c r="C362" s="2" t="s">
        <v>31</v>
      </c>
      <c r="D362" s="2" t="s">
        <v>17</v>
      </c>
      <c r="E362" s="2" t="s">
        <v>32</v>
      </c>
      <c r="F362" s="2">
        <v>331</v>
      </c>
      <c r="G362" s="2">
        <v>945336</v>
      </c>
    </row>
    <row r="363" spans="1:7" x14ac:dyDescent="0.3">
      <c r="A363" s="7">
        <v>45708</v>
      </c>
      <c r="B363" s="6" t="s">
        <v>39</v>
      </c>
      <c r="C363" s="2" t="s">
        <v>8</v>
      </c>
      <c r="D363" s="2" t="s">
        <v>9</v>
      </c>
      <c r="E363" s="2" t="s">
        <v>27</v>
      </c>
      <c r="F363" s="2">
        <v>215</v>
      </c>
      <c r="G363" s="2">
        <v>1707745</v>
      </c>
    </row>
    <row r="364" spans="1:7" x14ac:dyDescent="0.3">
      <c r="A364" s="7">
        <v>45805</v>
      </c>
      <c r="B364" s="6" t="s">
        <v>25</v>
      </c>
      <c r="C364" s="2" t="s">
        <v>12</v>
      </c>
      <c r="D364" s="2" t="s">
        <v>17</v>
      </c>
      <c r="E364" s="2" t="s">
        <v>27</v>
      </c>
      <c r="F364" s="2">
        <v>208</v>
      </c>
      <c r="G364" s="2">
        <v>987792</v>
      </c>
    </row>
    <row r="365" spans="1:7" x14ac:dyDescent="0.3">
      <c r="A365" s="7">
        <v>45860</v>
      </c>
      <c r="B365" s="6" t="s">
        <v>23</v>
      </c>
      <c r="C365" s="2" t="s">
        <v>26</v>
      </c>
      <c r="D365" s="2" t="s">
        <v>17</v>
      </c>
      <c r="E365" s="2" t="s">
        <v>10</v>
      </c>
      <c r="F365" s="2">
        <v>370</v>
      </c>
      <c r="G365" s="2">
        <v>528360</v>
      </c>
    </row>
    <row r="366" spans="1:7" x14ac:dyDescent="0.3">
      <c r="A366" s="7">
        <v>45729</v>
      </c>
      <c r="B366" s="6" t="s">
        <v>7</v>
      </c>
      <c r="C366" s="2" t="s">
        <v>26</v>
      </c>
      <c r="D366" s="2" t="s">
        <v>33</v>
      </c>
      <c r="E366" s="2" t="s">
        <v>14</v>
      </c>
      <c r="F366" s="2">
        <v>158</v>
      </c>
      <c r="G366" s="2">
        <v>178066</v>
      </c>
    </row>
    <row r="367" spans="1:7" x14ac:dyDescent="0.3">
      <c r="A367" s="7">
        <v>45788</v>
      </c>
      <c r="B367" s="6" t="s">
        <v>25</v>
      </c>
      <c r="C367" s="2" t="s">
        <v>41</v>
      </c>
      <c r="D367" s="2" t="s">
        <v>33</v>
      </c>
      <c r="E367" s="2" t="s">
        <v>32</v>
      </c>
      <c r="F367" s="2">
        <v>472</v>
      </c>
      <c r="G367" s="2">
        <v>3209600</v>
      </c>
    </row>
    <row r="368" spans="1:7" x14ac:dyDescent="0.3">
      <c r="A368" s="7">
        <v>45858</v>
      </c>
      <c r="B368" s="6" t="s">
        <v>25</v>
      </c>
      <c r="C368" s="2" t="s">
        <v>12</v>
      </c>
      <c r="D368" s="2" t="s">
        <v>29</v>
      </c>
      <c r="E368" s="2" t="s">
        <v>32</v>
      </c>
      <c r="F368" s="2">
        <v>325</v>
      </c>
      <c r="G368" s="2">
        <v>1989000</v>
      </c>
    </row>
    <row r="369" spans="1:7" x14ac:dyDescent="0.3">
      <c r="A369" s="7">
        <v>45924</v>
      </c>
      <c r="B369" s="6" t="s">
        <v>38</v>
      </c>
      <c r="C369" s="2" t="s">
        <v>8</v>
      </c>
      <c r="D369" s="2" t="s">
        <v>17</v>
      </c>
      <c r="E369" s="2" t="s">
        <v>22</v>
      </c>
      <c r="F369" s="2">
        <v>184</v>
      </c>
      <c r="G369" s="2">
        <v>627992</v>
      </c>
    </row>
    <row r="370" spans="1:7" x14ac:dyDescent="0.3">
      <c r="A370" s="7">
        <v>45834</v>
      </c>
      <c r="B370" s="6" t="s">
        <v>11</v>
      </c>
      <c r="C370" s="2" t="s">
        <v>26</v>
      </c>
      <c r="D370" s="2" t="s">
        <v>29</v>
      </c>
      <c r="E370" s="2" t="s">
        <v>24</v>
      </c>
      <c r="F370" s="2">
        <v>460</v>
      </c>
      <c r="G370" s="2">
        <v>2608660</v>
      </c>
    </row>
    <row r="371" spans="1:7" x14ac:dyDescent="0.3">
      <c r="A371" s="7">
        <v>45734</v>
      </c>
      <c r="B371" s="6" t="s">
        <v>23</v>
      </c>
      <c r="C371" s="2" t="s">
        <v>8</v>
      </c>
      <c r="D371" s="2" t="s">
        <v>29</v>
      </c>
      <c r="E371" s="2" t="s">
        <v>34</v>
      </c>
      <c r="F371" s="2">
        <v>347</v>
      </c>
      <c r="G371" s="2">
        <v>1917522</v>
      </c>
    </row>
    <row r="372" spans="1:7" x14ac:dyDescent="0.3">
      <c r="A372" s="7">
        <v>45839</v>
      </c>
      <c r="B372" s="6" t="s">
        <v>15</v>
      </c>
      <c r="C372" s="2" t="s">
        <v>31</v>
      </c>
      <c r="D372" s="2" t="s">
        <v>29</v>
      </c>
      <c r="E372" s="2" t="s">
        <v>22</v>
      </c>
      <c r="F372" s="2">
        <v>98</v>
      </c>
      <c r="G372" s="2">
        <v>449918</v>
      </c>
    </row>
    <row r="373" spans="1:7" x14ac:dyDescent="0.3">
      <c r="A373" s="7">
        <v>45715</v>
      </c>
      <c r="B373" s="6" t="s">
        <v>11</v>
      </c>
      <c r="C373" s="2" t="s">
        <v>20</v>
      </c>
      <c r="D373" s="2" t="s">
        <v>33</v>
      </c>
      <c r="E373" s="2" t="s">
        <v>27</v>
      </c>
      <c r="F373" s="2">
        <v>186</v>
      </c>
      <c r="G373" s="2">
        <v>1426434</v>
      </c>
    </row>
    <row r="374" spans="1:7" x14ac:dyDescent="0.3">
      <c r="A374" s="7">
        <v>45818</v>
      </c>
      <c r="B374" s="6" t="s">
        <v>11</v>
      </c>
      <c r="C374" s="2" t="s">
        <v>12</v>
      </c>
      <c r="D374" s="2" t="s">
        <v>36</v>
      </c>
      <c r="E374" s="2" t="s">
        <v>10</v>
      </c>
      <c r="F374" s="2">
        <v>353</v>
      </c>
      <c r="G374" s="2">
        <v>1349872</v>
      </c>
    </row>
    <row r="375" spans="1:7" x14ac:dyDescent="0.3">
      <c r="A375" s="7">
        <v>45766</v>
      </c>
      <c r="B375" s="6" t="s">
        <v>7</v>
      </c>
      <c r="C375" s="2" t="s">
        <v>20</v>
      </c>
      <c r="D375" s="2" t="s">
        <v>13</v>
      </c>
      <c r="E375" s="2" t="s">
        <v>34</v>
      </c>
      <c r="F375" s="2">
        <v>78</v>
      </c>
      <c r="G375" s="2">
        <v>361374</v>
      </c>
    </row>
    <row r="376" spans="1:7" x14ac:dyDescent="0.3">
      <c r="A376" s="7">
        <v>45917</v>
      </c>
      <c r="B376" s="6" t="s">
        <v>19</v>
      </c>
      <c r="C376" s="2" t="s">
        <v>35</v>
      </c>
      <c r="D376" s="2" t="s">
        <v>33</v>
      </c>
      <c r="E376" s="2" t="s">
        <v>32</v>
      </c>
      <c r="F376" s="2">
        <v>27</v>
      </c>
      <c r="G376" s="2">
        <v>182088</v>
      </c>
    </row>
    <row r="377" spans="1:7" x14ac:dyDescent="0.3">
      <c r="A377" s="7">
        <v>45730</v>
      </c>
      <c r="B377" s="6" t="s">
        <v>25</v>
      </c>
      <c r="C377" s="2" t="s">
        <v>20</v>
      </c>
      <c r="D377" s="2" t="s">
        <v>9</v>
      </c>
      <c r="E377" s="2" t="s">
        <v>14</v>
      </c>
      <c r="F377" s="2">
        <v>235</v>
      </c>
      <c r="G377" s="2">
        <v>1456295</v>
      </c>
    </row>
    <row r="378" spans="1:7" x14ac:dyDescent="0.3">
      <c r="A378" s="7">
        <v>45910</v>
      </c>
      <c r="B378" s="6" t="s">
        <v>30</v>
      </c>
      <c r="C378" s="2" t="s">
        <v>31</v>
      </c>
      <c r="D378" s="2" t="s">
        <v>17</v>
      </c>
      <c r="E378" s="2" t="s">
        <v>22</v>
      </c>
      <c r="F378" s="2">
        <v>410</v>
      </c>
      <c r="G378" s="2">
        <v>630170</v>
      </c>
    </row>
    <row r="379" spans="1:7" x14ac:dyDescent="0.3">
      <c r="A379" s="7">
        <v>45960</v>
      </c>
      <c r="B379" s="6" t="s">
        <v>11</v>
      </c>
      <c r="C379" s="2" t="s">
        <v>41</v>
      </c>
      <c r="D379" s="2" t="s">
        <v>9</v>
      </c>
      <c r="E379" s="2" t="s">
        <v>40</v>
      </c>
      <c r="F379" s="2">
        <v>196</v>
      </c>
      <c r="G379" s="2">
        <v>292628</v>
      </c>
    </row>
    <row r="380" spans="1:7" x14ac:dyDescent="0.3">
      <c r="A380" s="7">
        <v>45764</v>
      </c>
      <c r="B380" s="6" t="s">
        <v>23</v>
      </c>
      <c r="C380" s="2" t="s">
        <v>8</v>
      </c>
      <c r="D380" s="2" t="s">
        <v>21</v>
      </c>
      <c r="E380" s="2" t="s">
        <v>10</v>
      </c>
      <c r="F380" s="2">
        <v>111</v>
      </c>
      <c r="G380" s="2">
        <v>595626</v>
      </c>
    </row>
    <row r="381" spans="1:7" x14ac:dyDescent="0.3">
      <c r="A381" s="7">
        <v>45947</v>
      </c>
      <c r="B381" s="6" t="s">
        <v>25</v>
      </c>
      <c r="C381" s="2" t="s">
        <v>26</v>
      </c>
      <c r="D381" s="2" t="s">
        <v>21</v>
      </c>
      <c r="E381" s="2" t="s">
        <v>27</v>
      </c>
      <c r="F381" s="2">
        <v>365</v>
      </c>
      <c r="G381" s="2">
        <v>1955305</v>
      </c>
    </row>
    <row r="382" spans="1:7" x14ac:dyDescent="0.3">
      <c r="A382" s="7">
        <v>45946</v>
      </c>
      <c r="B382" s="6" t="s">
        <v>19</v>
      </c>
      <c r="C382" s="2" t="s">
        <v>12</v>
      </c>
      <c r="D382" s="2" t="s">
        <v>36</v>
      </c>
      <c r="E382" s="2" t="s">
        <v>32</v>
      </c>
      <c r="F382" s="2">
        <v>224</v>
      </c>
      <c r="G382" s="2">
        <v>1056832</v>
      </c>
    </row>
    <row r="383" spans="1:7" x14ac:dyDescent="0.3">
      <c r="A383" s="7">
        <v>45853</v>
      </c>
      <c r="B383" s="6" t="s">
        <v>28</v>
      </c>
      <c r="C383" s="2" t="s">
        <v>26</v>
      </c>
      <c r="D383" s="2" t="s">
        <v>9</v>
      </c>
      <c r="E383" s="2" t="s">
        <v>34</v>
      </c>
      <c r="F383" s="2">
        <v>120</v>
      </c>
      <c r="G383" s="2">
        <v>691560</v>
      </c>
    </row>
    <row r="384" spans="1:7" x14ac:dyDescent="0.3">
      <c r="A384" s="7">
        <v>45984</v>
      </c>
      <c r="B384" s="6" t="s">
        <v>38</v>
      </c>
      <c r="C384" s="2" t="s">
        <v>8</v>
      </c>
      <c r="D384" s="2" t="s">
        <v>33</v>
      </c>
      <c r="E384" s="2" t="s">
        <v>27</v>
      </c>
      <c r="F384" s="2">
        <v>240</v>
      </c>
      <c r="G384" s="2">
        <v>1697040</v>
      </c>
    </row>
    <row r="385" spans="1:7" x14ac:dyDescent="0.3">
      <c r="A385" s="7">
        <v>45672</v>
      </c>
      <c r="B385" s="6" t="s">
        <v>38</v>
      </c>
      <c r="C385" s="2" t="s">
        <v>16</v>
      </c>
      <c r="D385" s="2" t="s">
        <v>17</v>
      </c>
      <c r="E385" s="2" t="s">
        <v>32</v>
      </c>
      <c r="F385" s="2">
        <v>17</v>
      </c>
      <c r="G385" s="2">
        <v>96050</v>
      </c>
    </row>
    <row r="386" spans="1:7" x14ac:dyDescent="0.3">
      <c r="A386" s="7">
        <v>45680</v>
      </c>
      <c r="B386" s="6" t="s">
        <v>7</v>
      </c>
      <c r="C386" s="2" t="s">
        <v>12</v>
      </c>
      <c r="D386" s="2" t="s">
        <v>9</v>
      </c>
      <c r="E386" s="2" t="s">
        <v>14</v>
      </c>
      <c r="F386" s="2">
        <v>374</v>
      </c>
      <c r="G386" s="2">
        <v>1628770</v>
      </c>
    </row>
    <row r="387" spans="1:7" x14ac:dyDescent="0.3">
      <c r="A387" s="7">
        <v>45690</v>
      </c>
      <c r="B387" s="6" t="s">
        <v>11</v>
      </c>
      <c r="C387" s="2" t="s">
        <v>12</v>
      </c>
      <c r="D387" s="2" t="s">
        <v>36</v>
      </c>
      <c r="E387" s="2" t="s">
        <v>32</v>
      </c>
      <c r="F387" s="2">
        <v>406</v>
      </c>
      <c r="G387" s="2">
        <v>2306080</v>
      </c>
    </row>
    <row r="388" spans="1:7" x14ac:dyDescent="0.3">
      <c r="A388" s="7">
        <v>45916</v>
      </c>
      <c r="B388" s="6" t="s">
        <v>30</v>
      </c>
      <c r="C388" s="2" t="s">
        <v>26</v>
      </c>
      <c r="D388" s="2" t="s">
        <v>9</v>
      </c>
      <c r="E388" s="2" t="s">
        <v>27</v>
      </c>
      <c r="F388" s="2">
        <v>358</v>
      </c>
      <c r="G388" s="2">
        <v>2227118</v>
      </c>
    </row>
    <row r="389" spans="1:7" x14ac:dyDescent="0.3">
      <c r="A389" s="7">
        <v>45703</v>
      </c>
      <c r="B389" s="6" t="s">
        <v>38</v>
      </c>
      <c r="C389" s="2" t="s">
        <v>41</v>
      </c>
      <c r="D389" s="2" t="s">
        <v>29</v>
      </c>
      <c r="E389" s="2" t="s">
        <v>34</v>
      </c>
      <c r="F389" s="2">
        <v>221</v>
      </c>
      <c r="G389" s="2">
        <v>390728</v>
      </c>
    </row>
    <row r="390" spans="1:7" x14ac:dyDescent="0.3">
      <c r="A390" s="7">
        <v>45762</v>
      </c>
      <c r="B390" s="6" t="s">
        <v>23</v>
      </c>
      <c r="C390" s="2" t="s">
        <v>12</v>
      </c>
      <c r="D390" s="2" t="s">
        <v>36</v>
      </c>
      <c r="E390" s="2" t="s">
        <v>34</v>
      </c>
      <c r="F390" s="2">
        <v>140</v>
      </c>
      <c r="G390" s="2">
        <v>658560</v>
      </c>
    </row>
    <row r="391" spans="1:7" x14ac:dyDescent="0.3">
      <c r="A391" s="7">
        <v>45876</v>
      </c>
      <c r="B391" s="6" t="s">
        <v>28</v>
      </c>
      <c r="C391" s="2" t="s">
        <v>41</v>
      </c>
      <c r="D391" s="2" t="s">
        <v>13</v>
      </c>
      <c r="E391" s="2" t="s">
        <v>37</v>
      </c>
      <c r="F391" s="2">
        <v>143</v>
      </c>
      <c r="G391" s="2">
        <v>563706</v>
      </c>
    </row>
    <row r="392" spans="1:7" x14ac:dyDescent="0.3">
      <c r="A392" s="7">
        <v>45747</v>
      </c>
      <c r="B392" s="6" t="s">
        <v>38</v>
      </c>
      <c r="C392" s="2" t="s">
        <v>35</v>
      </c>
      <c r="D392" s="2" t="s">
        <v>36</v>
      </c>
      <c r="E392" s="2" t="s">
        <v>22</v>
      </c>
      <c r="F392" s="2">
        <v>395</v>
      </c>
      <c r="G392" s="2">
        <v>2089945</v>
      </c>
    </row>
    <row r="393" spans="1:7" x14ac:dyDescent="0.3">
      <c r="A393" s="7">
        <v>45787</v>
      </c>
      <c r="B393" s="6" t="s">
        <v>30</v>
      </c>
      <c r="C393" s="2" t="s">
        <v>35</v>
      </c>
      <c r="D393" s="2" t="s">
        <v>9</v>
      </c>
      <c r="E393" s="2" t="s">
        <v>32</v>
      </c>
      <c r="F393" s="2">
        <v>253</v>
      </c>
      <c r="G393" s="2">
        <v>1912174</v>
      </c>
    </row>
    <row r="394" spans="1:7" x14ac:dyDescent="0.3">
      <c r="A394" s="7">
        <v>45912</v>
      </c>
      <c r="B394" s="6" t="s">
        <v>7</v>
      </c>
      <c r="C394" s="2" t="s">
        <v>26</v>
      </c>
      <c r="D394" s="2" t="s">
        <v>9</v>
      </c>
      <c r="E394" s="2" t="s">
        <v>10</v>
      </c>
      <c r="F394" s="2">
        <v>118</v>
      </c>
      <c r="G394" s="2">
        <v>498904</v>
      </c>
    </row>
    <row r="395" spans="1:7" x14ac:dyDescent="0.3">
      <c r="A395" s="7">
        <v>45902</v>
      </c>
      <c r="B395" s="6" t="s">
        <v>11</v>
      </c>
      <c r="C395" s="2" t="s">
        <v>26</v>
      </c>
      <c r="D395" s="2" t="s">
        <v>36</v>
      </c>
      <c r="E395" s="2" t="s">
        <v>34</v>
      </c>
      <c r="F395" s="2">
        <v>233</v>
      </c>
      <c r="G395" s="2">
        <v>660788</v>
      </c>
    </row>
    <row r="396" spans="1:7" x14ac:dyDescent="0.3">
      <c r="A396" s="7">
        <v>45736</v>
      </c>
      <c r="B396" s="6" t="s">
        <v>11</v>
      </c>
      <c r="C396" s="2" t="s">
        <v>16</v>
      </c>
      <c r="D396" s="2" t="s">
        <v>33</v>
      </c>
      <c r="E396" s="2" t="s">
        <v>27</v>
      </c>
      <c r="F396" s="2">
        <v>297</v>
      </c>
      <c r="G396" s="2">
        <v>1893375</v>
      </c>
    </row>
    <row r="397" spans="1:7" x14ac:dyDescent="0.3">
      <c r="A397" s="7">
        <v>45804</v>
      </c>
      <c r="B397" s="6" t="s">
        <v>19</v>
      </c>
      <c r="C397" s="2" t="s">
        <v>8</v>
      </c>
      <c r="D397" s="2" t="s">
        <v>29</v>
      </c>
      <c r="E397" s="2" t="s">
        <v>27</v>
      </c>
      <c r="F397" s="2">
        <v>384</v>
      </c>
      <c r="G397" s="2">
        <v>693888</v>
      </c>
    </row>
    <row r="398" spans="1:7" x14ac:dyDescent="0.3">
      <c r="A398" s="7">
        <v>45981</v>
      </c>
      <c r="B398" s="6" t="s">
        <v>23</v>
      </c>
      <c r="C398" s="2" t="s">
        <v>8</v>
      </c>
      <c r="D398" s="2" t="s">
        <v>17</v>
      </c>
      <c r="E398" s="2" t="s">
        <v>40</v>
      </c>
      <c r="F398" s="2">
        <v>352</v>
      </c>
      <c r="G398" s="2">
        <v>1293248</v>
      </c>
    </row>
    <row r="399" spans="1:7" x14ac:dyDescent="0.3">
      <c r="A399" s="7">
        <v>45772</v>
      </c>
      <c r="B399" s="6" t="s">
        <v>15</v>
      </c>
      <c r="C399" s="2" t="s">
        <v>20</v>
      </c>
      <c r="D399" s="2" t="s">
        <v>29</v>
      </c>
      <c r="E399" s="2" t="s">
        <v>37</v>
      </c>
      <c r="F399" s="2">
        <v>285</v>
      </c>
      <c r="G399" s="2">
        <v>1782675</v>
      </c>
    </row>
    <row r="400" spans="1:7" x14ac:dyDescent="0.3">
      <c r="A400" s="7">
        <v>45689</v>
      </c>
      <c r="B400" s="6" t="s">
        <v>38</v>
      </c>
      <c r="C400" s="2" t="s">
        <v>31</v>
      </c>
      <c r="D400" s="2" t="s">
        <v>29</v>
      </c>
      <c r="E400" s="2" t="s">
        <v>40</v>
      </c>
      <c r="F400" s="2">
        <v>54</v>
      </c>
      <c r="G400" s="2">
        <v>158436</v>
      </c>
    </row>
    <row r="401" spans="1:7" x14ac:dyDescent="0.3">
      <c r="A401" s="7">
        <v>45737</v>
      </c>
      <c r="B401" s="6" t="s">
        <v>25</v>
      </c>
      <c r="C401" s="2" t="s">
        <v>20</v>
      </c>
      <c r="D401" s="2" t="s">
        <v>29</v>
      </c>
      <c r="E401" s="2" t="s">
        <v>14</v>
      </c>
      <c r="F401" s="2">
        <v>208</v>
      </c>
      <c r="G401" s="2">
        <v>616720</v>
      </c>
    </row>
    <row r="402" spans="1:7" x14ac:dyDescent="0.3">
      <c r="A402" s="7">
        <v>45789</v>
      </c>
      <c r="B402" s="6" t="s">
        <v>30</v>
      </c>
      <c r="C402" s="2" t="s">
        <v>8</v>
      </c>
      <c r="D402" s="2" t="s">
        <v>21</v>
      </c>
      <c r="E402" s="2" t="s">
        <v>40</v>
      </c>
      <c r="F402" s="2">
        <v>490</v>
      </c>
      <c r="G402" s="2">
        <v>1941380</v>
      </c>
    </row>
    <row r="403" spans="1:7" x14ac:dyDescent="0.3">
      <c r="A403" s="7">
        <v>45861</v>
      </c>
      <c r="B403" s="6" t="s">
        <v>11</v>
      </c>
      <c r="C403" s="2" t="s">
        <v>16</v>
      </c>
      <c r="D403" s="2" t="s">
        <v>17</v>
      </c>
      <c r="E403" s="2" t="s">
        <v>22</v>
      </c>
      <c r="F403" s="2">
        <v>68</v>
      </c>
      <c r="G403" s="2">
        <v>165444</v>
      </c>
    </row>
    <row r="404" spans="1:7" x14ac:dyDescent="0.3">
      <c r="A404" s="7">
        <v>46005</v>
      </c>
      <c r="B404" s="6" t="s">
        <v>11</v>
      </c>
      <c r="C404" s="2" t="s">
        <v>35</v>
      </c>
      <c r="D404" s="2" t="s">
        <v>29</v>
      </c>
      <c r="E404" s="2" t="s">
        <v>14</v>
      </c>
      <c r="F404" s="2">
        <v>446</v>
      </c>
      <c r="G404" s="2">
        <v>2589030</v>
      </c>
    </row>
    <row r="405" spans="1:7" x14ac:dyDescent="0.3">
      <c r="A405" s="7">
        <v>45868</v>
      </c>
      <c r="B405" s="6" t="s">
        <v>28</v>
      </c>
      <c r="C405" s="2" t="s">
        <v>26</v>
      </c>
      <c r="D405" s="2" t="s">
        <v>9</v>
      </c>
      <c r="E405" s="2" t="s">
        <v>10</v>
      </c>
      <c r="F405" s="2">
        <v>343</v>
      </c>
      <c r="G405" s="2">
        <v>1869693</v>
      </c>
    </row>
    <row r="406" spans="1:7" x14ac:dyDescent="0.3">
      <c r="A406" s="7">
        <v>45951</v>
      </c>
      <c r="B406" s="6" t="s">
        <v>39</v>
      </c>
      <c r="C406" s="2" t="s">
        <v>20</v>
      </c>
      <c r="D406" s="2" t="s">
        <v>21</v>
      </c>
      <c r="E406" s="2" t="s">
        <v>40</v>
      </c>
      <c r="F406" s="2">
        <v>160</v>
      </c>
      <c r="G406" s="2">
        <v>434240</v>
      </c>
    </row>
    <row r="407" spans="1:7" x14ac:dyDescent="0.3">
      <c r="A407" s="7">
        <v>45948</v>
      </c>
      <c r="B407" s="6" t="s">
        <v>11</v>
      </c>
      <c r="C407" s="2" t="s">
        <v>31</v>
      </c>
      <c r="D407" s="2" t="s">
        <v>29</v>
      </c>
      <c r="E407" s="2" t="s">
        <v>14</v>
      </c>
      <c r="F407" s="2">
        <v>259</v>
      </c>
      <c r="G407" s="2">
        <v>1894585</v>
      </c>
    </row>
    <row r="408" spans="1:7" x14ac:dyDescent="0.3">
      <c r="A408" s="7">
        <v>45835</v>
      </c>
      <c r="B408" s="6" t="s">
        <v>25</v>
      </c>
      <c r="C408" s="2" t="s">
        <v>8</v>
      </c>
      <c r="D408" s="2" t="s">
        <v>33</v>
      </c>
      <c r="E408" s="2" t="s">
        <v>18</v>
      </c>
      <c r="F408" s="2">
        <v>211</v>
      </c>
      <c r="G408" s="2">
        <v>469475</v>
      </c>
    </row>
    <row r="409" spans="1:7" x14ac:dyDescent="0.3">
      <c r="A409" s="7">
        <v>45729</v>
      </c>
      <c r="B409" s="6" t="s">
        <v>30</v>
      </c>
      <c r="C409" s="2" t="s">
        <v>26</v>
      </c>
      <c r="D409" s="2" t="s">
        <v>21</v>
      </c>
      <c r="E409" s="2" t="s">
        <v>22</v>
      </c>
      <c r="F409" s="2">
        <v>144</v>
      </c>
      <c r="G409" s="2">
        <v>256752</v>
      </c>
    </row>
    <row r="410" spans="1:7" x14ac:dyDescent="0.3">
      <c r="A410" s="7">
        <v>45934</v>
      </c>
      <c r="B410" s="6" t="s">
        <v>39</v>
      </c>
      <c r="C410" s="2" t="s">
        <v>8</v>
      </c>
      <c r="D410" s="2" t="s">
        <v>33</v>
      </c>
      <c r="E410" s="2" t="s">
        <v>32</v>
      </c>
      <c r="F410" s="2">
        <v>305</v>
      </c>
      <c r="G410" s="2">
        <v>363560</v>
      </c>
    </row>
    <row r="411" spans="1:7" x14ac:dyDescent="0.3">
      <c r="A411" s="7">
        <v>45798</v>
      </c>
      <c r="B411" s="6" t="s">
        <v>39</v>
      </c>
      <c r="C411" s="2" t="s">
        <v>16</v>
      </c>
      <c r="D411" s="2" t="s">
        <v>21</v>
      </c>
      <c r="E411" s="2" t="s">
        <v>22</v>
      </c>
      <c r="F411" s="2">
        <v>193</v>
      </c>
      <c r="G411" s="2">
        <v>430197</v>
      </c>
    </row>
    <row r="412" spans="1:7" x14ac:dyDescent="0.3">
      <c r="A412" s="7">
        <v>45878</v>
      </c>
      <c r="B412" s="6" t="s">
        <v>25</v>
      </c>
      <c r="C412" s="2" t="s">
        <v>16</v>
      </c>
      <c r="D412" s="2" t="s">
        <v>13</v>
      </c>
      <c r="E412" s="2" t="s">
        <v>10</v>
      </c>
      <c r="F412" s="2">
        <v>123</v>
      </c>
      <c r="G412" s="2">
        <v>161745</v>
      </c>
    </row>
    <row r="413" spans="1:7" x14ac:dyDescent="0.3">
      <c r="A413" s="7">
        <v>45943</v>
      </c>
      <c r="B413" s="6" t="s">
        <v>15</v>
      </c>
      <c r="C413" s="2" t="s">
        <v>16</v>
      </c>
      <c r="D413" s="2" t="s">
        <v>29</v>
      </c>
      <c r="E413" s="2" t="s">
        <v>18</v>
      </c>
      <c r="F413" s="2">
        <v>323</v>
      </c>
      <c r="G413" s="2">
        <v>2520369</v>
      </c>
    </row>
    <row r="414" spans="1:7" x14ac:dyDescent="0.3">
      <c r="A414" s="7">
        <v>45949</v>
      </c>
      <c r="B414" s="6" t="s">
        <v>28</v>
      </c>
      <c r="C414" s="2" t="s">
        <v>16</v>
      </c>
      <c r="D414" s="2" t="s">
        <v>36</v>
      </c>
      <c r="E414" s="2" t="s">
        <v>37</v>
      </c>
      <c r="F414" s="2">
        <v>106</v>
      </c>
      <c r="G414" s="2">
        <v>244012</v>
      </c>
    </row>
    <row r="415" spans="1:7" x14ac:dyDescent="0.3">
      <c r="A415" s="7">
        <v>46018</v>
      </c>
      <c r="B415" s="6" t="s">
        <v>15</v>
      </c>
      <c r="C415" s="2" t="s">
        <v>16</v>
      </c>
      <c r="D415" s="2" t="s">
        <v>13</v>
      </c>
      <c r="E415" s="2" t="s">
        <v>10</v>
      </c>
      <c r="F415" s="2">
        <v>495</v>
      </c>
      <c r="G415" s="2">
        <v>1301355</v>
      </c>
    </row>
    <row r="416" spans="1:7" x14ac:dyDescent="0.3">
      <c r="A416" s="7">
        <v>45848</v>
      </c>
      <c r="B416" s="6" t="s">
        <v>11</v>
      </c>
      <c r="C416" s="2" t="s">
        <v>12</v>
      </c>
      <c r="D416" s="2" t="s">
        <v>13</v>
      </c>
      <c r="E416" s="2" t="s">
        <v>24</v>
      </c>
      <c r="F416" s="2">
        <v>422</v>
      </c>
      <c r="G416" s="2">
        <v>2887746</v>
      </c>
    </row>
    <row r="417" spans="1:7" x14ac:dyDescent="0.3">
      <c r="A417" s="7">
        <v>45686</v>
      </c>
      <c r="B417" s="6" t="s">
        <v>7</v>
      </c>
      <c r="C417" s="2" t="s">
        <v>20</v>
      </c>
      <c r="D417" s="2" t="s">
        <v>21</v>
      </c>
      <c r="E417" s="2" t="s">
        <v>37</v>
      </c>
      <c r="F417" s="2">
        <v>213</v>
      </c>
      <c r="G417" s="2">
        <v>370407</v>
      </c>
    </row>
    <row r="418" spans="1:7" x14ac:dyDescent="0.3">
      <c r="A418" s="7">
        <v>45727</v>
      </c>
      <c r="B418" s="6" t="s">
        <v>15</v>
      </c>
      <c r="C418" s="2" t="s">
        <v>41</v>
      </c>
      <c r="D418" s="2" t="s">
        <v>13</v>
      </c>
      <c r="E418" s="2" t="s">
        <v>27</v>
      </c>
      <c r="F418" s="2">
        <v>187</v>
      </c>
      <c r="G418" s="2">
        <v>533511</v>
      </c>
    </row>
    <row r="419" spans="1:7" x14ac:dyDescent="0.3">
      <c r="A419" s="7">
        <v>45796</v>
      </c>
      <c r="B419" s="6" t="s">
        <v>11</v>
      </c>
      <c r="C419" s="2" t="s">
        <v>41</v>
      </c>
      <c r="D419" s="2" t="s">
        <v>29</v>
      </c>
      <c r="E419" s="2" t="s">
        <v>34</v>
      </c>
      <c r="F419" s="2">
        <v>129</v>
      </c>
      <c r="G419" s="2">
        <v>857076</v>
      </c>
    </row>
    <row r="420" spans="1:7" x14ac:dyDescent="0.3">
      <c r="A420" s="7">
        <v>45771</v>
      </c>
      <c r="B420" s="6" t="s">
        <v>7</v>
      </c>
      <c r="C420" s="2" t="s">
        <v>8</v>
      </c>
      <c r="D420" s="2" t="s">
        <v>33</v>
      </c>
      <c r="E420" s="2" t="s">
        <v>40</v>
      </c>
      <c r="F420" s="2">
        <v>103</v>
      </c>
      <c r="G420" s="2">
        <v>660539</v>
      </c>
    </row>
    <row r="421" spans="1:7" x14ac:dyDescent="0.3">
      <c r="A421" s="7">
        <v>45682</v>
      </c>
      <c r="B421" s="6" t="s">
        <v>7</v>
      </c>
      <c r="C421" s="2" t="s">
        <v>16</v>
      </c>
      <c r="D421" s="2" t="s">
        <v>17</v>
      </c>
      <c r="E421" s="2" t="s">
        <v>37</v>
      </c>
      <c r="F421" s="2">
        <v>182</v>
      </c>
      <c r="G421" s="2">
        <v>892892</v>
      </c>
    </row>
    <row r="422" spans="1:7" x14ac:dyDescent="0.3">
      <c r="A422" s="7">
        <v>45671</v>
      </c>
      <c r="B422" s="6" t="s">
        <v>30</v>
      </c>
      <c r="C422" s="2" t="s">
        <v>12</v>
      </c>
      <c r="D422" s="2" t="s">
        <v>21</v>
      </c>
      <c r="E422" s="2" t="s">
        <v>22</v>
      </c>
      <c r="F422" s="2">
        <v>11</v>
      </c>
      <c r="G422" s="2">
        <v>38676</v>
      </c>
    </row>
    <row r="423" spans="1:7" x14ac:dyDescent="0.3">
      <c r="A423" s="7">
        <v>45802</v>
      </c>
      <c r="B423" s="6" t="s">
        <v>11</v>
      </c>
      <c r="C423" s="2" t="s">
        <v>31</v>
      </c>
      <c r="D423" s="2" t="s">
        <v>36</v>
      </c>
      <c r="E423" s="2" t="s">
        <v>18</v>
      </c>
      <c r="F423" s="2">
        <v>85</v>
      </c>
      <c r="G423" s="2">
        <v>142375</v>
      </c>
    </row>
    <row r="424" spans="1:7" x14ac:dyDescent="0.3">
      <c r="A424" s="7">
        <v>45746</v>
      </c>
      <c r="B424" s="6" t="s">
        <v>19</v>
      </c>
      <c r="C424" s="2" t="s">
        <v>20</v>
      </c>
      <c r="D424" s="2" t="s">
        <v>21</v>
      </c>
      <c r="E424" s="2" t="s">
        <v>32</v>
      </c>
      <c r="F424" s="2">
        <v>349</v>
      </c>
      <c r="G424" s="2">
        <v>2697421</v>
      </c>
    </row>
    <row r="425" spans="1:7" x14ac:dyDescent="0.3">
      <c r="A425" s="7">
        <v>45996</v>
      </c>
      <c r="B425" s="6" t="s">
        <v>23</v>
      </c>
      <c r="C425" s="2" t="s">
        <v>41</v>
      </c>
      <c r="D425" s="2" t="s">
        <v>36</v>
      </c>
      <c r="E425" s="2" t="s">
        <v>18</v>
      </c>
      <c r="F425" s="2">
        <v>106</v>
      </c>
      <c r="G425" s="2">
        <v>287790</v>
      </c>
    </row>
    <row r="426" spans="1:7" x14ac:dyDescent="0.3">
      <c r="A426" s="7">
        <v>45747</v>
      </c>
      <c r="B426" s="6" t="s">
        <v>11</v>
      </c>
      <c r="C426" s="2" t="s">
        <v>35</v>
      </c>
      <c r="D426" s="2" t="s">
        <v>9</v>
      </c>
      <c r="E426" s="2" t="s">
        <v>37</v>
      </c>
      <c r="F426" s="2">
        <v>457</v>
      </c>
      <c r="G426" s="2">
        <v>2293226</v>
      </c>
    </row>
    <row r="427" spans="1:7" x14ac:dyDescent="0.3">
      <c r="A427" s="7">
        <v>45804</v>
      </c>
      <c r="B427" s="6" t="s">
        <v>19</v>
      </c>
      <c r="C427" s="2" t="s">
        <v>26</v>
      </c>
      <c r="D427" s="2" t="s">
        <v>36</v>
      </c>
      <c r="E427" s="2" t="s">
        <v>22</v>
      </c>
      <c r="F427" s="2">
        <v>443</v>
      </c>
      <c r="G427" s="2">
        <v>2064823</v>
      </c>
    </row>
    <row r="428" spans="1:7" x14ac:dyDescent="0.3">
      <c r="A428" s="7">
        <v>45875</v>
      </c>
      <c r="B428" s="6" t="s">
        <v>39</v>
      </c>
      <c r="C428" s="2" t="s">
        <v>26</v>
      </c>
      <c r="D428" s="2" t="s">
        <v>13</v>
      </c>
      <c r="E428" s="2" t="s">
        <v>40</v>
      </c>
      <c r="F428" s="2">
        <v>359</v>
      </c>
      <c r="G428" s="2">
        <v>999815</v>
      </c>
    </row>
    <row r="429" spans="1:7" x14ac:dyDescent="0.3">
      <c r="A429" s="7">
        <v>45683</v>
      </c>
      <c r="B429" s="6" t="s">
        <v>11</v>
      </c>
      <c r="C429" s="2" t="s">
        <v>26</v>
      </c>
      <c r="D429" s="2" t="s">
        <v>29</v>
      </c>
      <c r="E429" s="2" t="s">
        <v>24</v>
      </c>
      <c r="F429" s="2">
        <v>97</v>
      </c>
      <c r="G429" s="2">
        <v>518368</v>
      </c>
    </row>
    <row r="430" spans="1:7" x14ac:dyDescent="0.3">
      <c r="A430" s="7">
        <v>46013</v>
      </c>
      <c r="B430" s="6" t="s">
        <v>30</v>
      </c>
      <c r="C430" s="2" t="s">
        <v>12</v>
      </c>
      <c r="D430" s="2" t="s">
        <v>9</v>
      </c>
      <c r="E430" s="2" t="s">
        <v>34</v>
      </c>
      <c r="F430" s="2">
        <v>23</v>
      </c>
      <c r="G430" s="2">
        <v>133584</v>
      </c>
    </row>
    <row r="431" spans="1:7" x14ac:dyDescent="0.3">
      <c r="A431" s="7">
        <v>45794</v>
      </c>
      <c r="B431" s="6" t="s">
        <v>15</v>
      </c>
      <c r="C431" s="2" t="s">
        <v>8</v>
      </c>
      <c r="D431" s="2" t="s">
        <v>33</v>
      </c>
      <c r="E431" s="2" t="s">
        <v>10</v>
      </c>
      <c r="F431" s="2">
        <v>443</v>
      </c>
      <c r="G431" s="2">
        <v>1732573</v>
      </c>
    </row>
    <row r="432" spans="1:7" x14ac:dyDescent="0.3">
      <c r="A432" s="7">
        <v>45785</v>
      </c>
      <c r="B432" s="6" t="s">
        <v>7</v>
      </c>
      <c r="C432" s="2" t="s">
        <v>16</v>
      </c>
      <c r="D432" s="2" t="s">
        <v>21</v>
      </c>
      <c r="E432" s="2" t="s">
        <v>27</v>
      </c>
      <c r="F432" s="2">
        <v>476</v>
      </c>
      <c r="G432" s="2">
        <v>3302488</v>
      </c>
    </row>
    <row r="433" spans="1:7" x14ac:dyDescent="0.3">
      <c r="A433" s="7">
        <v>45668</v>
      </c>
      <c r="B433" s="6" t="s">
        <v>7</v>
      </c>
      <c r="C433" s="2" t="s">
        <v>31</v>
      </c>
      <c r="D433" s="2" t="s">
        <v>21</v>
      </c>
      <c r="E433" s="2" t="s">
        <v>27</v>
      </c>
      <c r="F433" s="2">
        <v>444</v>
      </c>
      <c r="G433" s="2">
        <v>2202684</v>
      </c>
    </row>
    <row r="434" spans="1:7" x14ac:dyDescent="0.3">
      <c r="A434" s="7">
        <v>45897</v>
      </c>
      <c r="B434" s="6" t="s">
        <v>25</v>
      </c>
      <c r="C434" s="2" t="s">
        <v>41</v>
      </c>
      <c r="D434" s="2" t="s">
        <v>33</v>
      </c>
      <c r="E434" s="2" t="s">
        <v>37</v>
      </c>
      <c r="F434" s="2">
        <v>42</v>
      </c>
      <c r="G434" s="2">
        <v>245280</v>
      </c>
    </row>
    <row r="435" spans="1:7" x14ac:dyDescent="0.3">
      <c r="A435" s="7">
        <v>45765</v>
      </c>
      <c r="B435" s="6" t="s">
        <v>28</v>
      </c>
      <c r="C435" s="2" t="s">
        <v>35</v>
      </c>
      <c r="D435" s="2" t="s">
        <v>29</v>
      </c>
      <c r="E435" s="2" t="s">
        <v>14</v>
      </c>
      <c r="F435" s="2">
        <v>395</v>
      </c>
      <c r="G435" s="2">
        <v>1986455</v>
      </c>
    </row>
    <row r="436" spans="1:7" x14ac:dyDescent="0.3">
      <c r="A436" s="7">
        <v>45940</v>
      </c>
      <c r="B436" s="6" t="s">
        <v>15</v>
      </c>
      <c r="C436" s="2" t="s">
        <v>12</v>
      </c>
      <c r="D436" s="2" t="s">
        <v>17</v>
      </c>
      <c r="E436" s="2" t="s">
        <v>22</v>
      </c>
      <c r="F436" s="2">
        <v>465</v>
      </c>
      <c r="G436" s="2">
        <v>3334515</v>
      </c>
    </row>
    <row r="437" spans="1:7" x14ac:dyDescent="0.3">
      <c r="A437" s="7">
        <v>45672</v>
      </c>
      <c r="B437" s="6" t="s">
        <v>11</v>
      </c>
      <c r="C437" s="2" t="s">
        <v>20</v>
      </c>
      <c r="D437" s="2" t="s">
        <v>29</v>
      </c>
      <c r="E437" s="2" t="s">
        <v>32</v>
      </c>
      <c r="F437" s="2">
        <v>497</v>
      </c>
      <c r="G437" s="2">
        <v>911498</v>
      </c>
    </row>
    <row r="438" spans="1:7" x14ac:dyDescent="0.3">
      <c r="A438" s="7">
        <v>46021</v>
      </c>
      <c r="B438" s="6" t="s">
        <v>11</v>
      </c>
      <c r="C438" s="2" t="s">
        <v>26</v>
      </c>
      <c r="D438" s="2" t="s">
        <v>9</v>
      </c>
      <c r="E438" s="2" t="s">
        <v>34</v>
      </c>
      <c r="F438" s="2">
        <v>134</v>
      </c>
      <c r="G438" s="2">
        <v>390744</v>
      </c>
    </row>
    <row r="439" spans="1:7" x14ac:dyDescent="0.3">
      <c r="A439" s="7">
        <v>45750</v>
      </c>
      <c r="B439" s="6" t="s">
        <v>25</v>
      </c>
      <c r="C439" s="2" t="s">
        <v>41</v>
      </c>
      <c r="D439" s="2" t="s">
        <v>21</v>
      </c>
      <c r="E439" s="2" t="s">
        <v>40</v>
      </c>
      <c r="F439" s="2">
        <v>339</v>
      </c>
      <c r="G439" s="2">
        <v>1643811</v>
      </c>
    </row>
    <row r="440" spans="1:7" x14ac:dyDescent="0.3">
      <c r="A440" s="7">
        <v>45825</v>
      </c>
      <c r="B440" s="6" t="s">
        <v>19</v>
      </c>
      <c r="C440" s="2" t="s">
        <v>16</v>
      </c>
      <c r="D440" s="2" t="s">
        <v>21</v>
      </c>
      <c r="E440" s="2" t="s">
        <v>14</v>
      </c>
      <c r="F440" s="2">
        <v>138</v>
      </c>
      <c r="G440" s="2">
        <v>167532</v>
      </c>
    </row>
    <row r="441" spans="1:7" x14ac:dyDescent="0.3">
      <c r="A441" s="7">
        <v>45881</v>
      </c>
      <c r="B441" s="6" t="s">
        <v>39</v>
      </c>
      <c r="C441" s="2" t="s">
        <v>20</v>
      </c>
      <c r="D441" s="2" t="s">
        <v>13</v>
      </c>
      <c r="E441" s="2" t="s">
        <v>27</v>
      </c>
      <c r="F441" s="2">
        <v>155</v>
      </c>
      <c r="G441" s="2">
        <v>225835</v>
      </c>
    </row>
    <row r="442" spans="1:7" x14ac:dyDescent="0.3">
      <c r="A442" s="7">
        <v>45952</v>
      </c>
      <c r="B442" s="6" t="s">
        <v>30</v>
      </c>
      <c r="C442" s="2" t="s">
        <v>35</v>
      </c>
      <c r="D442" s="2" t="s">
        <v>21</v>
      </c>
      <c r="E442" s="2" t="s">
        <v>22</v>
      </c>
      <c r="F442" s="2">
        <v>480</v>
      </c>
      <c r="G442" s="2">
        <v>606720</v>
      </c>
    </row>
    <row r="443" spans="1:7" x14ac:dyDescent="0.3">
      <c r="A443" s="7">
        <v>46014</v>
      </c>
      <c r="B443" s="6" t="s">
        <v>25</v>
      </c>
      <c r="C443" s="2" t="s">
        <v>41</v>
      </c>
      <c r="D443" s="2" t="s">
        <v>36</v>
      </c>
      <c r="E443" s="2" t="s">
        <v>27</v>
      </c>
      <c r="F443" s="2">
        <v>387</v>
      </c>
      <c r="G443" s="2">
        <v>851013</v>
      </c>
    </row>
    <row r="444" spans="1:7" x14ac:dyDescent="0.3">
      <c r="A444" s="7">
        <v>45894</v>
      </c>
      <c r="B444" s="6" t="s">
        <v>7</v>
      </c>
      <c r="C444" s="2" t="s">
        <v>16</v>
      </c>
      <c r="D444" s="2" t="s">
        <v>9</v>
      </c>
      <c r="E444" s="2" t="s">
        <v>18</v>
      </c>
      <c r="F444" s="2">
        <v>300</v>
      </c>
      <c r="G444" s="2">
        <v>1960200</v>
      </c>
    </row>
    <row r="445" spans="1:7" x14ac:dyDescent="0.3">
      <c r="A445" s="7">
        <v>45827</v>
      </c>
      <c r="B445" s="6" t="s">
        <v>15</v>
      </c>
      <c r="C445" s="2" t="s">
        <v>26</v>
      </c>
      <c r="D445" s="2" t="s">
        <v>36</v>
      </c>
      <c r="E445" s="2" t="s">
        <v>18</v>
      </c>
      <c r="F445" s="2">
        <v>327</v>
      </c>
      <c r="G445" s="2">
        <v>338772</v>
      </c>
    </row>
    <row r="446" spans="1:7" x14ac:dyDescent="0.3">
      <c r="A446" s="7">
        <v>45687</v>
      </c>
      <c r="B446" s="6" t="s">
        <v>38</v>
      </c>
      <c r="C446" s="2" t="s">
        <v>12</v>
      </c>
      <c r="D446" s="2" t="s">
        <v>17</v>
      </c>
      <c r="E446" s="2" t="s">
        <v>10</v>
      </c>
      <c r="F446" s="2">
        <v>451</v>
      </c>
      <c r="G446" s="2">
        <v>3152039</v>
      </c>
    </row>
    <row r="447" spans="1:7" x14ac:dyDescent="0.3">
      <c r="A447" s="7">
        <v>45885</v>
      </c>
      <c r="B447" s="6" t="s">
        <v>11</v>
      </c>
      <c r="C447" s="2" t="s">
        <v>35</v>
      </c>
      <c r="D447" s="2" t="s">
        <v>29</v>
      </c>
      <c r="E447" s="2" t="s">
        <v>27</v>
      </c>
      <c r="F447" s="2">
        <v>236</v>
      </c>
      <c r="G447" s="2">
        <v>489228</v>
      </c>
    </row>
    <row r="448" spans="1:7" x14ac:dyDescent="0.3">
      <c r="A448" s="7">
        <v>45741</v>
      </c>
      <c r="B448" s="6" t="s">
        <v>25</v>
      </c>
      <c r="C448" s="2" t="s">
        <v>41</v>
      </c>
      <c r="D448" s="2" t="s">
        <v>21</v>
      </c>
      <c r="E448" s="2" t="s">
        <v>10</v>
      </c>
      <c r="F448" s="2">
        <v>172</v>
      </c>
      <c r="G448" s="2">
        <v>427936</v>
      </c>
    </row>
    <row r="449" spans="1:7" x14ac:dyDescent="0.3">
      <c r="A449" s="7">
        <v>45660</v>
      </c>
      <c r="B449" s="6" t="s">
        <v>39</v>
      </c>
      <c r="C449" s="2" t="s">
        <v>20</v>
      </c>
      <c r="D449" s="2" t="s">
        <v>36</v>
      </c>
      <c r="E449" s="2" t="s">
        <v>10</v>
      </c>
      <c r="F449" s="2">
        <v>463</v>
      </c>
      <c r="G449" s="2">
        <v>1188984</v>
      </c>
    </row>
    <row r="450" spans="1:7" x14ac:dyDescent="0.3">
      <c r="A450" s="7">
        <v>45944</v>
      </c>
      <c r="B450" s="6" t="s">
        <v>7</v>
      </c>
      <c r="C450" s="2" t="s">
        <v>35</v>
      </c>
      <c r="D450" s="2" t="s">
        <v>17</v>
      </c>
      <c r="E450" s="2" t="s">
        <v>10</v>
      </c>
      <c r="F450" s="2">
        <v>96</v>
      </c>
      <c r="G450" s="2">
        <v>560160</v>
      </c>
    </row>
    <row r="451" spans="1:7" x14ac:dyDescent="0.3">
      <c r="A451" s="7">
        <v>45850</v>
      </c>
      <c r="B451" s="6" t="s">
        <v>7</v>
      </c>
      <c r="C451" s="2" t="s">
        <v>26</v>
      </c>
      <c r="D451" s="2" t="s">
        <v>17</v>
      </c>
      <c r="E451" s="2" t="s">
        <v>24</v>
      </c>
      <c r="F451" s="2">
        <v>72</v>
      </c>
      <c r="G451" s="2">
        <v>170856</v>
      </c>
    </row>
    <row r="452" spans="1:7" x14ac:dyDescent="0.3">
      <c r="A452" s="7">
        <v>45985</v>
      </c>
      <c r="B452" s="6" t="s">
        <v>25</v>
      </c>
      <c r="C452" s="2" t="s">
        <v>35</v>
      </c>
      <c r="D452" s="2" t="s">
        <v>21</v>
      </c>
      <c r="E452" s="2" t="s">
        <v>32</v>
      </c>
      <c r="F452" s="2">
        <v>10</v>
      </c>
      <c r="G452" s="2">
        <v>39960</v>
      </c>
    </row>
    <row r="453" spans="1:7" x14ac:dyDescent="0.3">
      <c r="A453" s="7">
        <v>45695</v>
      </c>
      <c r="B453" s="6" t="s">
        <v>23</v>
      </c>
      <c r="C453" s="2" t="s">
        <v>12</v>
      </c>
      <c r="D453" s="2" t="s">
        <v>33</v>
      </c>
      <c r="E453" s="2" t="s">
        <v>27</v>
      </c>
      <c r="F453" s="2">
        <v>196</v>
      </c>
      <c r="G453" s="2">
        <v>743428</v>
      </c>
    </row>
    <row r="454" spans="1:7" x14ac:dyDescent="0.3">
      <c r="A454" s="7">
        <v>45767</v>
      </c>
      <c r="B454" s="6" t="s">
        <v>19</v>
      </c>
      <c r="C454" s="2" t="s">
        <v>41</v>
      </c>
      <c r="D454" s="2" t="s">
        <v>36</v>
      </c>
      <c r="E454" s="2" t="s">
        <v>27</v>
      </c>
      <c r="F454" s="2">
        <v>118</v>
      </c>
      <c r="G454" s="2">
        <v>598378</v>
      </c>
    </row>
    <row r="455" spans="1:7" x14ac:dyDescent="0.3">
      <c r="A455" s="7">
        <v>45893</v>
      </c>
      <c r="B455" s="6" t="s">
        <v>30</v>
      </c>
      <c r="C455" s="2" t="s">
        <v>26</v>
      </c>
      <c r="D455" s="2" t="s">
        <v>33</v>
      </c>
      <c r="E455" s="2" t="s">
        <v>18</v>
      </c>
      <c r="F455" s="2">
        <v>299</v>
      </c>
      <c r="G455" s="2">
        <v>2159677</v>
      </c>
    </row>
    <row r="456" spans="1:7" x14ac:dyDescent="0.3">
      <c r="A456" s="7">
        <v>45740</v>
      </c>
      <c r="B456" s="6" t="s">
        <v>39</v>
      </c>
      <c r="C456" s="2" t="s">
        <v>20</v>
      </c>
      <c r="D456" s="2" t="s">
        <v>36</v>
      </c>
      <c r="E456" s="2" t="s">
        <v>37</v>
      </c>
      <c r="F456" s="2">
        <v>65</v>
      </c>
      <c r="G456" s="2">
        <v>255060</v>
      </c>
    </row>
    <row r="457" spans="1:7" x14ac:dyDescent="0.3">
      <c r="A457" s="7">
        <v>45693</v>
      </c>
      <c r="B457" s="6" t="s">
        <v>11</v>
      </c>
      <c r="C457" s="2" t="s">
        <v>8</v>
      </c>
      <c r="D457" s="2" t="s">
        <v>21</v>
      </c>
      <c r="E457" s="2" t="s">
        <v>40</v>
      </c>
      <c r="F457" s="2">
        <v>90</v>
      </c>
      <c r="G457" s="2">
        <v>646380</v>
      </c>
    </row>
    <row r="458" spans="1:7" x14ac:dyDescent="0.3">
      <c r="A458" s="7">
        <v>45682</v>
      </c>
      <c r="B458" s="6" t="s">
        <v>39</v>
      </c>
      <c r="C458" s="2" t="s">
        <v>31</v>
      </c>
      <c r="D458" s="2" t="s">
        <v>21</v>
      </c>
      <c r="E458" s="2" t="s">
        <v>18</v>
      </c>
      <c r="F458" s="2">
        <v>138</v>
      </c>
      <c r="G458" s="2">
        <v>556002</v>
      </c>
    </row>
    <row r="459" spans="1:7" x14ac:dyDescent="0.3">
      <c r="A459" s="7">
        <v>45714</v>
      </c>
      <c r="B459" s="6" t="s">
        <v>30</v>
      </c>
      <c r="C459" s="2" t="s">
        <v>12</v>
      </c>
      <c r="D459" s="2" t="s">
        <v>29</v>
      </c>
      <c r="E459" s="2" t="s">
        <v>10</v>
      </c>
      <c r="F459" s="2">
        <v>417</v>
      </c>
      <c r="G459" s="2">
        <v>2729265</v>
      </c>
    </row>
    <row r="460" spans="1:7" x14ac:dyDescent="0.3">
      <c r="A460" s="7">
        <v>45842</v>
      </c>
      <c r="B460" s="6" t="s">
        <v>25</v>
      </c>
      <c r="C460" s="2" t="s">
        <v>20</v>
      </c>
      <c r="D460" s="2" t="s">
        <v>36</v>
      </c>
      <c r="E460" s="2" t="s">
        <v>34</v>
      </c>
      <c r="F460" s="2">
        <v>48</v>
      </c>
      <c r="G460" s="2">
        <v>98928</v>
      </c>
    </row>
    <row r="461" spans="1:7" x14ac:dyDescent="0.3">
      <c r="A461" s="7">
        <v>45954</v>
      </c>
      <c r="B461" s="6" t="s">
        <v>7</v>
      </c>
      <c r="C461" s="2" t="s">
        <v>26</v>
      </c>
      <c r="D461" s="2" t="s">
        <v>21</v>
      </c>
      <c r="E461" s="2" t="s">
        <v>40</v>
      </c>
      <c r="F461" s="2">
        <v>74</v>
      </c>
      <c r="G461" s="2">
        <v>404336</v>
      </c>
    </row>
    <row r="462" spans="1:7" x14ac:dyDescent="0.3">
      <c r="A462" s="7">
        <v>45891</v>
      </c>
      <c r="B462" s="6" t="s">
        <v>39</v>
      </c>
      <c r="C462" s="2" t="s">
        <v>16</v>
      </c>
      <c r="D462" s="2" t="s">
        <v>13</v>
      </c>
      <c r="E462" s="2" t="s">
        <v>40</v>
      </c>
      <c r="F462" s="2">
        <v>253</v>
      </c>
      <c r="G462" s="2">
        <v>669944</v>
      </c>
    </row>
    <row r="463" spans="1:7" x14ac:dyDescent="0.3">
      <c r="A463" s="7">
        <v>45686</v>
      </c>
      <c r="B463" s="6" t="s">
        <v>38</v>
      </c>
      <c r="C463" s="2" t="s">
        <v>12</v>
      </c>
      <c r="D463" s="2" t="s">
        <v>33</v>
      </c>
      <c r="E463" s="2" t="s">
        <v>14</v>
      </c>
      <c r="F463" s="2">
        <v>318</v>
      </c>
      <c r="G463" s="2">
        <v>1354680</v>
      </c>
    </row>
    <row r="464" spans="1:7" x14ac:dyDescent="0.3">
      <c r="A464" s="7">
        <v>45898</v>
      </c>
      <c r="B464" s="6" t="s">
        <v>19</v>
      </c>
      <c r="C464" s="2" t="s">
        <v>26</v>
      </c>
      <c r="D464" s="2" t="s">
        <v>29</v>
      </c>
      <c r="E464" s="2" t="s">
        <v>27</v>
      </c>
      <c r="F464" s="2">
        <v>131</v>
      </c>
      <c r="G464" s="2">
        <v>145410</v>
      </c>
    </row>
    <row r="465" spans="1:7" x14ac:dyDescent="0.3">
      <c r="A465" s="7">
        <v>45939</v>
      </c>
      <c r="B465" s="6" t="s">
        <v>28</v>
      </c>
      <c r="C465" s="2" t="s">
        <v>41</v>
      </c>
      <c r="D465" s="2" t="s">
        <v>17</v>
      </c>
      <c r="E465" s="2" t="s">
        <v>22</v>
      </c>
      <c r="F465" s="2">
        <v>42</v>
      </c>
      <c r="G465" s="2">
        <v>166152</v>
      </c>
    </row>
    <row r="466" spans="1:7" x14ac:dyDescent="0.3">
      <c r="A466" s="7">
        <v>45924</v>
      </c>
      <c r="B466" s="6" t="s">
        <v>19</v>
      </c>
      <c r="C466" s="2" t="s">
        <v>8</v>
      </c>
      <c r="D466" s="2" t="s">
        <v>33</v>
      </c>
      <c r="E466" s="2" t="s">
        <v>14</v>
      </c>
      <c r="F466" s="2">
        <v>499</v>
      </c>
      <c r="G466" s="2">
        <v>2399691</v>
      </c>
    </row>
    <row r="467" spans="1:7" x14ac:dyDescent="0.3">
      <c r="A467" s="7">
        <v>45682</v>
      </c>
      <c r="B467" s="6" t="s">
        <v>7</v>
      </c>
      <c r="C467" s="2" t="s">
        <v>31</v>
      </c>
      <c r="D467" s="2" t="s">
        <v>29</v>
      </c>
      <c r="E467" s="2" t="s">
        <v>18</v>
      </c>
      <c r="F467" s="2">
        <v>187</v>
      </c>
      <c r="G467" s="2">
        <v>549780</v>
      </c>
    </row>
    <row r="468" spans="1:7" x14ac:dyDescent="0.3">
      <c r="A468" s="7">
        <v>45695</v>
      </c>
      <c r="B468" s="6" t="s">
        <v>19</v>
      </c>
      <c r="C468" s="2" t="s">
        <v>35</v>
      </c>
      <c r="D468" s="2" t="s">
        <v>33</v>
      </c>
      <c r="E468" s="2" t="s">
        <v>34</v>
      </c>
      <c r="F468" s="2">
        <v>374</v>
      </c>
      <c r="G468" s="2">
        <v>766326</v>
      </c>
    </row>
    <row r="469" spans="1:7" x14ac:dyDescent="0.3">
      <c r="A469" s="7">
        <v>45929</v>
      </c>
      <c r="B469" s="6" t="s">
        <v>30</v>
      </c>
      <c r="C469" s="2" t="s">
        <v>20</v>
      </c>
      <c r="D469" s="2" t="s">
        <v>21</v>
      </c>
      <c r="E469" s="2" t="s">
        <v>14</v>
      </c>
      <c r="F469" s="2">
        <v>180</v>
      </c>
      <c r="G469" s="2">
        <v>1206900</v>
      </c>
    </row>
    <row r="470" spans="1:7" x14ac:dyDescent="0.3">
      <c r="A470" s="7">
        <v>45870</v>
      </c>
      <c r="B470" s="6" t="s">
        <v>23</v>
      </c>
      <c r="C470" s="2" t="s">
        <v>41</v>
      </c>
      <c r="D470" s="2" t="s">
        <v>33</v>
      </c>
      <c r="E470" s="2" t="s">
        <v>24</v>
      </c>
      <c r="F470" s="2">
        <v>412</v>
      </c>
      <c r="G470" s="2">
        <v>1937224</v>
      </c>
    </row>
    <row r="471" spans="1:7" x14ac:dyDescent="0.3">
      <c r="A471" s="7">
        <v>45828</v>
      </c>
      <c r="B471" s="6" t="s">
        <v>25</v>
      </c>
      <c r="C471" s="2" t="s">
        <v>31</v>
      </c>
      <c r="D471" s="2" t="s">
        <v>13</v>
      </c>
      <c r="E471" s="2" t="s">
        <v>37</v>
      </c>
      <c r="F471" s="2">
        <v>435</v>
      </c>
      <c r="G471" s="2">
        <v>2145855</v>
      </c>
    </row>
    <row r="472" spans="1:7" x14ac:dyDescent="0.3">
      <c r="A472" s="7">
        <v>45917</v>
      </c>
      <c r="B472" s="6" t="s">
        <v>39</v>
      </c>
      <c r="C472" s="2" t="s">
        <v>41</v>
      </c>
      <c r="D472" s="2" t="s">
        <v>36</v>
      </c>
      <c r="E472" s="2" t="s">
        <v>10</v>
      </c>
      <c r="F472" s="2">
        <v>130</v>
      </c>
      <c r="G472" s="2">
        <v>318890</v>
      </c>
    </row>
    <row r="473" spans="1:7" x14ac:dyDescent="0.3">
      <c r="A473" s="7">
        <v>45809</v>
      </c>
      <c r="B473" s="6" t="s">
        <v>11</v>
      </c>
      <c r="C473" s="2" t="s">
        <v>16</v>
      </c>
      <c r="D473" s="2" t="s">
        <v>36</v>
      </c>
      <c r="E473" s="2" t="s">
        <v>14</v>
      </c>
      <c r="F473" s="2">
        <v>14</v>
      </c>
      <c r="G473" s="2">
        <v>83622</v>
      </c>
    </row>
    <row r="474" spans="1:7" x14ac:dyDescent="0.3">
      <c r="A474" s="7">
        <v>45853</v>
      </c>
      <c r="B474" s="6" t="s">
        <v>28</v>
      </c>
      <c r="C474" s="2" t="s">
        <v>26</v>
      </c>
      <c r="D474" s="2" t="s">
        <v>33</v>
      </c>
      <c r="E474" s="2" t="s">
        <v>24</v>
      </c>
      <c r="F474" s="2">
        <v>103</v>
      </c>
      <c r="G474" s="2">
        <v>558981</v>
      </c>
    </row>
    <row r="475" spans="1:7" x14ac:dyDescent="0.3">
      <c r="A475" s="7">
        <v>45732</v>
      </c>
      <c r="B475" s="6" t="s">
        <v>38</v>
      </c>
      <c r="C475" s="2" t="s">
        <v>26</v>
      </c>
      <c r="D475" s="2" t="s">
        <v>29</v>
      </c>
      <c r="E475" s="2" t="s">
        <v>22</v>
      </c>
      <c r="F475" s="2">
        <v>138</v>
      </c>
      <c r="G475" s="2">
        <v>818892</v>
      </c>
    </row>
    <row r="476" spans="1:7" x14ac:dyDescent="0.3">
      <c r="A476" s="7">
        <v>45944</v>
      </c>
      <c r="B476" s="6" t="s">
        <v>38</v>
      </c>
      <c r="C476" s="2" t="s">
        <v>12</v>
      </c>
      <c r="D476" s="2" t="s">
        <v>36</v>
      </c>
      <c r="E476" s="2" t="s">
        <v>22</v>
      </c>
      <c r="F476" s="2">
        <v>263</v>
      </c>
      <c r="G476" s="2">
        <v>1650588</v>
      </c>
    </row>
    <row r="477" spans="1:7" x14ac:dyDescent="0.3">
      <c r="A477" s="7">
        <v>45687</v>
      </c>
      <c r="B477" s="6" t="s">
        <v>28</v>
      </c>
      <c r="C477" s="2" t="s">
        <v>20</v>
      </c>
      <c r="D477" s="2" t="s">
        <v>17</v>
      </c>
      <c r="E477" s="2" t="s">
        <v>22</v>
      </c>
      <c r="F477" s="2">
        <v>257</v>
      </c>
      <c r="G477" s="2">
        <v>1166523</v>
      </c>
    </row>
    <row r="478" spans="1:7" x14ac:dyDescent="0.3">
      <c r="A478" s="7">
        <v>45798</v>
      </c>
      <c r="B478" s="6" t="s">
        <v>19</v>
      </c>
      <c r="C478" s="2" t="s">
        <v>12</v>
      </c>
      <c r="D478" s="2" t="s">
        <v>29</v>
      </c>
      <c r="E478" s="2" t="s">
        <v>32</v>
      </c>
      <c r="F478" s="2">
        <v>387</v>
      </c>
      <c r="G478" s="2">
        <v>988785</v>
      </c>
    </row>
    <row r="479" spans="1:7" x14ac:dyDescent="0.3">
      <c r="A479" s="7">
        <v>45744</v>
      </c>
      <c r="B479" s="6" t="s">
        <v>7</v>
      </c>
      <c r="C479" s="2" t="s">
        <v>31</v>
      </c>
      <c r="D479" s="2" t="s">
        <v>9</v>
      </c>
      <c r="E479" s="2" t="s">
        <v>24</v>
      </c>
      <c r="F479" s="2">
        <v>368</v>
      </c>
      <c r="G479" s="2">
        <v>1448080</v>
      </c>
    </row>
    <row r="480" spans="1:7" x14ac:dyDescent="0.3">
      <c r="A480" s="7">
        <v>45923</v>
      </c>
      <c r="B480" s="6" t="s">
        <v>30</v>
      </c>
      <c r="C480" s="2" t="s">
        <v>26</v>
      </c>
      <c r="D480" s="2" t="s">
        <v>33</v>
      </c>
      <c r="E480" s="2" t="s">
        <v>10</v>
      </c>
      <c r="F480" s="2">
        <v>32</v>
      </c>
      <c r="G480" s="2">
        <v>77376</v>
      </c>
    </row>
    <row r="481" spans="1:7" x14ac:dyDescent="0.3">
      <c r="A481" s="7">
        <v>45724</v>
      </c>
      <c r="B481" s="6" t="s">
        <v>23</v>
      </c>
      <c r="C481" s="2" t="s">
        <v>16</v>
      </c>
      <c r="D481" s="2" t="s">
        <v>33</v>
      </c>
      <c r="E481" s="2" t="s">
        <v>14</v>
      </c>
      <c r="F481" s="2">
        <v>172</v>
      </c>
      <c r="G481" s="2">
        <v>847788</v>
      </c>
    </row>
    <row r="482" spans="1:7" x14ac:dyDescent="0.3">
      <c r="A482" s="7">
        <v>45843</v>
      </c>
      <c r="B482" s="6" t="s">
        <v>25</v>
      </c>
      <c r="C482" s="2" t="s">
        <v>20</v>
      </c>
      <c r="D482" s="2" t="s">
        <v>36</v>
      </c>
      <c r="E482" s="2" t="s">
        <v>14</v>
      </c>
      <c r="F482" s="2">
        <v>292</v>
      </c>
      <c r="G482" s="2">
        <v>1169752</v>
      </c>
    </row>
    <row r="483" spans="1:7" x14ac:dyDescent="0.3">
      <c r="A483" s="7">
        <v>45715</v>
      </c>
      <c r="B483" s="6" t="s">
        <v>38</v>
      </c>
      <c r="C483" s="2" t="s">
        <v>41</v>
      </c>
      <c r="D483" s="2" t="s">
        <v>9</v>
      </c>
      <c r="E483" s="2" t="s">
        <v>10</v>
      </c>
      <c r="F483" s="2">
        <v>174</v>
      </c>
      <c r="G483" s="2">
        <v>1027296</v>
      </c>
    </row>
    <row r="484" spans="1:7" x14ac:dyDescent="0.3">
      <c r="A484" s="7">
        <v>45868</v>
      </c>
      <c r="B484" s="6" t="s">
        <v>23</v>
      </c>
      <c r="C484" s="2" t="s">
        <v>8</v>
      </c>
      <c r="D484" s="2" t="s">
        <v>13</v>
      </c>
      <c r="E484" s="2" t="s">
        <v>14</v>
      </c>
      <c r="F484" s="2">
        <v>479</v>
      </c>
      <c r="G484" s="2">
        <v>1284678</v>
      </c>
    </row>
    <row r="485" spans="1:7" x14ac:dyDescent="0.3">
      <c r="A485" s="7">
        <v>45970</v>
      </c>
      <c r="B485" s="6" t="s">
        <v>28</v>
      </c>
      <c r="C485" s="2" t="s">
        <v>16</v>
      </c>
      <c r="D485" s="2" t="s">
        <v>9</v>
      </c>
      <c r="E485" s="2" t="s">
        <v>22</v>
      </c>
      <c r="F485" s="2">
        <v>128</v>
      </c>
      <c r="G485" s="2">
        <v>217856</v>
      </c>
    </row>
    <row r="486" spans="1:7" x14ac:dyDescent="0.3">
      <c r="A486" s="7">
        <v>45961</v>
      </c>
      <c r="B486" s="6" t="s">
        <v>15</v>
      </c>
      <c r="C486" s="2" t="s">
        <v>8</v>
      </c>
      <c r="D486" s="2" t="s">
        <v>13</v>
      </c>
      <c r="E486" s="2" t="s">
        <v>27</v>
      </c>
      <c r="F486" s="2">
        <v>378</v>
      </c>
      <c r="G486" s="2">
        <v>774522</v>
      </c>
    </row>
    <row r="487" spans="1:7" x14ac:dyDescent="0.3">
      <c r="A487" s="7">
        <v>45819</v>
      </c>
      <c r="B487" s="6" t="s">
        <v>28</v>
      </c>
      <c r="C487" s="2" t="s">
        <v>20</v>
      </c>
      <c r="D487" s="2" t="s">
        <v>29</v>
      </c>
      <c r="E487" s="2" t="s">
        <v>10</v>
      </c>
      <c r="F487" s="2">
        <v>420</v>
      </c>
      <c r="G487" s="2">
        <v>1805160</v>
      </c>
    </row>
    <row r="488" spans="1:7" x14ac:dyDescent="0.3">
      <c r="A488" s="7">
        <v>45930</v>
      </c>
      <c r="B488" s="6" t="s">
        <v>11</v>
      </c>
      <c r="C488" s="2" t="s">
        <v>31</v>
      </c>
      <c r="D488" s="2" t="s">
        <v>21</v>
      </c>
      <c r="E488" s="2" t="s">
        <v>27</v>
      </c>
      <c r="F488" s="2">
        <v>270</v>
      </c>
      <c r="G488" s="2">
        <v>492750</v>
      </c>
    </row>
    <row r="489" spans="1:7" x14ac:dyDescent="0.3">
      <c r="A489" s="7">
        <v>45709</v>
      </c>
      <c r="B489" s="6" t="s">
        <v>25</v>
      </c>
      <c r="C489" s="2" t="s">
        <v>35</v>
      </c>
      <c r="D489" s="2" t="s">
        <v>36</v>
      </c>
      <c r="E489" s="2" t="s">
        <v>37</v>
      </c>
      <c r="F489" s="2">
        <v>168</v>
      </c>
      <c r="G489" s="2">
        <v>1070160</v>
      </c>
    </row>
    <row r="490" spans="1:7" x14ac:dyDescent="0.3">
      <c r="A490" s="7">
        <v>45858</v>
      </c>
      <c r="B490" s="6" t="s">
        <v>25</v>
      </c>
      <c r="C490" s="2" t="s">
        <v>12</v>
      </c>
      <c r="D490" s="2" t="s">
        <v>29</v>
      </c>
      <c r="E490" s="2" t="s">
        <v>10</v>
      </c>
      <c r="F490" s="2">
        <v>122</v>
      </c>
      <c r="G490" s="2">
        <v>500688</v>
      </c>
    </row>
    <row r="491" spans="1:7" x14ac:dyDescent="0.3">
      <c r="A491" s="7">
        <v>45968</v>
      </c>
      <c r="B491" s="6" t="s">
        <v>38</v>
      </c>
      <c r="C491" s="2" t="s">
        <v>41</v>
      </c>
      <c r="D491" s="2" t="s">
        <v>33</v>
      </c>
      <c r="E491" s="2" t="s">
        <v>10</v>
      </c>
      <c r="F491" s="2">
        <v>374</v>
      </c>
      <c r="G491" s="2">
        <v>1218866</v>
      </c>
    </row>
    <row r="492" spans="1:7" x14ac:dyDescent="0.3">
      <c r="A492" s="7">
        <v>45669</v>
      </c>
      <c r="B492" s="6" t="s">
        <v>39</v>
      </c>
      <c r="C492" s="2" t="s">
        <v>41</v>
      </c>
      <c r="D492" s="2" t="s">
        <v>9</v>
      </c>
      <c r="E492" s="2" t="s">
        <v>24</v>
      </c>
      <c r="F492" s="2">
        <v>310</v>
      </c>
      <c r="G492" s="2">
        <v>1816910</v>
      </c>
    </row>
    <row r="493" spans="1:7" x14ac:dyDescent="0.3">
      <c r="A493" s="7">
        <v>45971</v>
      </c>
      <c r="B493" s="6" t="s">
        <v>19</v>
      </c>
      <c r="C493" s="2" t="s">
        <v>35</v>
      </c>
      <c r="D493" s="2" t="s">
        <v>17</v>
      </c>
      <c r="E493" s="2" t="s">
        <v>24</v>
      </c>
      <c r="F493" s="2">
        <v>424</v>
      </c>
      <c r="G493" s="2">
        <v>3216040</v>
      </c>
    </row>
    <row r="494" spans="1:7" x14ac:dyDescent="0.3">
      <c r="A494" s="7">
        <v>45896</v>
      </c>
      <c r="B494" s="6" t="s">
        <v>38</v>
      </c>
      <c r="C494" s="2" t="s">
        <v>8</v>
      </c>
      <c r="D494" s="2" t="s">
        <v>33</v>
      </c>
      <c r="E494" s="2" t="s">
        <v>34</v>
      </c>
      <c r="F494" s="2">
        <v>189</v>
      </c>
      <c r="G494" s="2">
        <v>1496124</v>
      </c>
    </row>
    <row r="495" spans="1:7" x14ac:dyDescent="0.3">
      <c r="A495" s="7">
        <v>45849</v>
      </c>
      <c r="B495" s="6" t="s">
        <v>19</v>
      </c>
      <c r="C495" s="2" t="s">
        <v>41</v>
      </c>
      <c r="D495" s="2" t="s">
        <v>17</v>
      </c>
      <c r="E495" s="2" t="s">
        <v>32</v>
      </c>
      <c r="F495" s="2">
        <v>330</v>
      </c>
      <c r="G495" s="2">
        <v>2239710</v>
      </c>
    </row>
    <row r="496" spans="1:7" x14ac:dyDescent="0.3">
      <c r="A496" s="7">
        <v>45787</v>
      </c>
      <c r="B496" s="6" t="s">
        <v>28</v>
      </c>
      <c r="C496" s="2" t="s">
        <v>12</v>
      </c>
      <c r="D496" s="2" t="s">
        <v>36</v>
      </c>
      <c r="E496" s="2" t="s">
        <v>34</v>
      </c>
      <c r="F496" s="2">
        <v>453</v>
      </c>
      <c r="G496" s="2">
        <v>2833968</v>
      </c>
    </row>
    <row r="497" spans="1:7" x14ac:dyDescent="0.3">
      <c r="A497" s="7">
        <v>45756</v>
      </c>
      <c r="B497" s="6" t="s">
        <v>19</v>
      </c>
      <c r="C497" s="2" t="s">
        <v>20</v>
      </c>
      <c r="D497" s="2" t="s">
        <v>13</v>
      </c>
      <c r="E497" s="2" t="s">
        <v>37</v>
      </c>
      <c r="F497" s="2">
        <v>151</v>
      </c>
      <c r="G497" s="2">
        <v>1061530</v>
      </c>
    </row>
    <row r="498" spans="1:7" x14ac:dyDescent="0.3">
      <c r="A498" s="7">
        <v>45808</v>
      </c>
      <c r="B498" s="6" t="s">
        <v>19</v>
      </c>
      <c r="C498" s="2" t="s">
        <v>12</v>
      </c>
      <c r="D498" s="2" t="s">
        <v>21</v>
      </c>
      <c r="E498" s="2" t="s">
        <v>27</v>
      </c>
      <c r="F498" s="2">
        <v>161</v>
      </c>
      <c r="G498" s="2">
        <v>1221990</v>
      </c>
    </row>
    <row r="499" spans="1:7" x14ac:dyDescent="0.3">
      <c r="A499" s="7">
        <v>45963</v>
      </c>
      <c r="B499" s="6" t="s">
        <v>39</v>
      </c>
      <c r="C499" s="2" t="s">
        <v>41</v>
      </c>
      <c r="D499" s="2" t="s">
        <v>13</v>
      </c>
      <c r="E499" s="2" t="s">
        <v>32</v>
      </c>
      <c r="F499" s="2">
        <v>133</v>
      </c>
      <c r="G499" s="2">
        <v>461244</v>
      </c>
    </row>
    <row r="500" spans="1:7" x14ac:dyDescent="0.3">
      <c r="A500" s="7">
        <v>45762</v>
      </c>
      <c r="B500" s="6" t="s">
        <v>11</v>
      </c>
      <c r="C500" s="2" t="s">
        <v>16</v>
      </c>
      <c r="D500" s="2" t="s">
        <v>9</v>
      </c>
      <c r="E500" s="2" t="s">
        <v>32</v>
      </c>
      <c r="F500" s="2">
        <v>354</v>
      </c>
      <c r="G500" s="2">
        <v>1320420</v>
      </c>
    </row>
    <row r="501" spans="1:7" x14ac:dyDescent="0.3">
      <c r="A501" s="7">
        <v>46023</v>
      </c>
      <c r="B501" s="6" t="s">
        <v>23</v>
      </c>
      <c r="C501" s="2" t="s">
        <v>31</v>
      </c>
      <c r="D501" s="2" t="s">
        <v>9</v>
      </c>
      <c r="E501" s="2" t="s">
        <v>10</v>
      </c>
      <c r="F501" s="2">
        <v>67</v>
      </c>
      <c r="G501" s="2">
        <v>141772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846A8-503B-4161-A40C-20689B2446A1}">
  <dimension ref="A2:G14"/>
  <sheetViews>
    <sheetView topLeftCell="B1" workbookViewId="0">
      <selection activeCell="K11" sqref="K11"/>
    </sheetView>
  </sheetViews>
  <sheetFormatPr defaultRowHeight="14.4" x14ac:dyDescent="0.3"/>
  <cols>
    <col min="1" max="1" width="25.44140625" bestFit="1" customWidth="1"/>
    <col min="2" max="2" width="18.44140625" bestFit="1" customWidth="1"/>
    <col min="3" max="3" width="18.44140625" customWidth="1"/>
    <col min="4" max="4" width="20.21875" bestFit="1" customWidth="1"/>
    <col min="5" max="5" width="17.6640625" bestFit="1" customWidth="1"/>
    <col min="6" max="6" width="14.5546875" bestFit="1" customWidth="1"/>
    <col min="7" max="8" width="17.6640625" bestFit="1" customWidth="1"/>
  </cols>
  <sheetData>
    <row r="2" spans="1:7" x14ac:dyDescent="0.3">
      <c r="A2" s="3" t="s">
        <v>42</v>
      </c>
      <c r="B2" t="s">
        <v>44</v>
      </c>
      <c r="F2" s="3" t="s">
        <v>42</v>
      </c>
      <c r="G2" t="s">
        <v>45</v>
      </c>
    </row>
    <row r="3" spans="1:7" x14ac:dyDescent="0.3">
      <c r="A3" s="4" t="s">
        <v>30</v>
      </c>
      <c r="B3" s="9">
        <v>66443391</v>
      </c>
      <c r="C3" s="9"/>
      <c r="F3" s="4" t="s">
        <v>18</v>
      </c>
      <c r="G3" s="10">
        <v>8740</v>
      </c>
    </row>
    <row r="4" spans="1:7" x14ac:dyDescent="0.3">
      <c r="A4" s="4" t="s">
        <v>23</v>
      </c>
      <c r="B4" s="9">
        <v>61255149</v>
      </c>
      <c r="C4" s="9"/>
      <c r="F4" s="4" t="s">
        <v>40</v>
      </c>
      <c r="G4" s="10">
        <v>9551</v>
      </c>
    </row>
    <row r="5" spans="1:7" x14ac:dyDescent="0.3">
      <c r="A5" s="4" t="s">
        <v>15</v>
      </c>
      <c r="B5" s="9">
        <v>39191847</v>
      </c>
      <c r="C5" s="9"/>
      <c r="F5" s="4" t="s">
        <v>14</v>
      </c>
      <c r="G5" s="10">
        <v>12341</v>
      </c>
    </row>
    <row r="6" spans="1:7" x14ac:dyDescent="0.3">
      <c r="A6" s="4" t="s">
        <v>19</v>
      </c>
      <c r="B6" s="9">
        <v>52978579</v>
      </c>
      <c r="C6" s="9"/>
      <c r="F6" s="4" t="s">
        <v>10</v>
      </c>
      <c r="G6" s="10">
        <v>15845</v>
      </c>
    </row>
    <row r="7" spans="1:7" x14ac:dyDescent="0.3">
      <c r="A7" s="4" t="s">
        <v>11</v>
      </c>
      <c r="B7" s="9">
        <v>59175985</v>
      </c>
      <c r="C7" s="9"/>
      <c r="D7" t="s">
        <v>44</v>
      </c>
      <c r="F7" s="4" t="s">
        <v>27</v>
      </c>
      <c r="G7" s="10">
        <v>13641</v>
      </c>
    </row>
    <row r="8" spans="1:7" x14ac:dyDescent="0.3">
      <c r="A8" s="4" t="s">
        <v>7</v>
      </c>
      <c r="B8" s="9">
        <v>43223341</v>
      </c>
      <c r="C8" s="9"/>
      <c r="D8" s="9">
        <v>580661907</v>
      </c>
      <c r="E8" s="9">
        <f>GETPIVOTDATA("Revenue INR",$D$7)</f>
        <v>580661907</v>
      </c>
      <c r="F8" s="4" t="s">
        <v>37</v>
      </c>
      <c r="G8" s="10">
        <v>10662</v>
      </c>
    </row>
    <row r="9" spans="1:7" x14ac:dyDescent="0.3">
      <c r="A9" s="4" t="s">
        <v>28</v>
      </c>
      <c r="B9" s="9">
        <v>74836835</v>
      </c>
      <c r="C9" s="9"/>
      <c r="F9" s="4" t="s">
        <v>24</v>
      </c>
      <c r="G9" s="10">
        <v>15620</v>
      </c>
    </row>
    <row r="10" spans="1:7" x14ac:dyDescent="0.3">
      <c r="A10" s="4" t="s">
        <v>39</v>
      </c>
      <c r="B10" s="9">
        <v>59809524</v>
      </c>
      <c r="C10" s="9"/>
      <c r="D10" t="s">
        <v>45</v>
      </c>
      <c r="F10" s="4" t="s">
        <v>22</v>
      </c>
      <c r="G10" s="10">
        <v>13272</v>
      </c>
    </row>
    <row r="11" spans="1:7" x14ac:dyDescent="0.3">
      <c r="A11" s="4" t="s">
        <v>25</v>
      </c>
      <c r="B11" s="9">
        <v>51873573</v>
      </c>
      <c r="C11" s="9"/>
      <c r="D11" s="9">
        <v>125331</v>
      </c>
      <c r="E11">
        <f>GETPIVOTDATA("Enrollments",$D$10)</f>
        <v>125331</v>
      </c>
      <c r="F11" s="4" t="s">
        <v>34</v>
      </c>
      <c r="G11" s="10">
        <v>13363</v>
      </c>
    </row>
    <row r="12" spans="1:7" x14ac:dyDescent="0.3">
      <c r="A12" s="4" t="s">
        <v>38</v>
      </c>
      <c r="B12" s="9">
        <v>71873683</v>
      </c>
      <c r="C12" s="9"/>
      <c r="F12" s="4" t="s">
        <v>32</v>
      </c>
      <c r="G12" s="10">
        <v>12296</v>
      </c>
    </row>
    <row r="13" spans="1:7" x14ac:dyDescent="0.3">
      <c r="A13" s="4" t="s">
        <v>43</v>
      </c>
      <c r="B13" s="9">
        <v>580661907</v>
      </c>
      <c r="C13" s="9"/>
      <c r="D13" t="s">
        <v>46</v>
      </c>
      <c r="F13" s="4" t="s">
        <v>43</v>
      </c>
      <c r="G13" s="10">
        <v>125331</v>
      </c>
    </row>
    <row r="14" spans="1:7" x14ac:dyDescent="0.3">
      <c r="D14" s="8">
        <v>500</v>
      </c>
      <c r="E14">
        <f>GETPIVOTDATA("Course Name",$D$13)</f>
        <v>500</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B155-DEB5-4EB5-BEBF-18457B79E0C5}">
  <dimension ref="A1"/>
  <sheetViews>
    <sheetView showGridLines="0" tabSelected="1" topLeftCell="A6" zoomScale="70" zoomScaleNormal="70" workbookViewId="0">
      <selection activeCell="G16" sqref="G16"/>
    </sheetView>
  </sheetViews>
  <sheetFormatPr defaultRowHeight="14.4" x14ac:dyDescent="0.3"/>
  <sheetData>
    <row r="1" spans="1:1" x14ac:dyDescent="0.3">
      <c r="A1">
        <v>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Course_Data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sharma</cp:lastModifiedBy>
  <dcterms:created xsi:type="dcterms:W3CDTF">2026-05-24T07:34:44Z</dcterms:created>
  <dcterms:modified xsi:type="dcterms:W3CDTF">2026-05-24T08:39:35Z</dcterms:modified>
</cp:coreProperties>
</file>